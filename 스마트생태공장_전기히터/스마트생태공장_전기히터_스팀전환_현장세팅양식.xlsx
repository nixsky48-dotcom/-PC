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작성안내" sheetId="1" state="visible" r:id="rId3"/>
    <sheet name="1_파라메터기록" sheetId="2" state="visible" r:id="rId4"/>
    <sheet name="2_밸브상태" sheetId="3" state="visible" r:id="rId5"/>
    <sheet name="3_전환시간실측" sheetId="4" state="visible" r:id="rId6"/>
    <sheet name="4_초기개도_트렌드" sheetId="5" state="visible" r:id="rId7"/>
    <sheet name="5_초기개도_매트릭스" sheetId="6" state="visible" r:id="rId8"/>
    <sheet name="6_추가체크리스트" sheetId="7" state="visible" r:id="rId9"/>
    <sheet name="7_로직개선제안" sheetId="8" state="visible" r:id="rId10"/>
    <sheet name="8_최종세팅값" sheetId="9" state="visible" r:id="rId11"/>
  </sheets>
  <definedNames>
    <definedName function="false" hidden="false" localSheetId="1" name="_xlnm.Print_Titles" vbProcedure="false">1_파라메터기록!$4:$5</definedName>
    <definedName function="false" hidden="false" localSheetId="2" name="_xlnm.Print_Titles" vbProcedure="false">2_밸브상태!$5:$5</definedName>
    <definedName function="false" hidden="false" localSheetId="5" name="_xlnm.Print_Titles" vbProcedure="false">5_초기개도_매트릭스!$5:$5</definedName>
    <definedName function="false" hidden="false" localSheetId="6" name="_xlnm.Print_Titles" vbProcedure="false">6_추가체크리스트!$4:$4</definedName>
    <definedName function="false" hidden="false" localSheetId="7" name="_xlnm.Print_Titles" vbProcedure="false">7_로직개선제안!$4:$4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5" authorId="0">
      <text>
        <r>
          <rPr>
            <sz val="10"/>
            <rFont val="WenQuanYi Zen Hei"/>
            <family val="2"/>
          </rPr>
          <t xml:space="preserve">허용 상승률 </t>
        </r>
        <r>
          <rPr>
            <sz val="10"/>
            <rFont val="Arial"/>
            <family val="2"/>
          </rPr>
          <t xml:space="preserve">0.5℃/</t>
        </r>
        <r>
          <rPr>
            <sz val="10"/>
            <rFont val="WenQuanYi Zen Hei"/>
            <family val="2"/>
          </rPr>
          <t xml:space="preserve">분은 예시 가정치입니다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보관소 관리기준에 맞춰 수정하세요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<sst xmlns="http://schemas.openxmlformats.org/spreadsheetml/2006/main" count="832" uniqueCount="510">
  <si>
    <r>
      <rPr>
        <b val="true"/>
        <sz val="14"/>
        <color rgb="FF000000"/>
        <rFont val="WenQuanYi Zen Hei"/>
        <family val="2"/>
      </rPr>
      <t xml:space="preserve">스마트 생태공장 구축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전기히터 ↔ 스팀 전환</t>
    </r>
    <r>
      <rPr>
        <b val="true"/>
        <sz val="14"/>
        <color rgb="FF000000"/>
        <rFont val="맑은 고딕"/>
        <family val="0"/>
        <charset val="1"/>
      </rPr>
      <t xml:space="preserve">) </t>
    </r>
    <r>
      <rPr>
        <b val="true"/>
        <sz val="14"/>
        <color rgb="FF000000"/>
        <rFont val="WenQuanYi Zen Hei"/>
        <family val="2"/>
      </rPr>
      <t xml:space="preserve">현장 세팅</t>
    </r>
    <r>
      <rPr>
        <b val="true"/>
        <sz val="14"/>
        <color rgb="FF000000"/>
        <rFont val="맑은 고딕"/>
        <family val="0"/>
        <charset val="1"/>
      </rPr>
      <t xml:space="preserve">·</t>
    </r>
    <r>
      <rPr>
        <b val="true"/>
        <sz val="14"/>
        <color rgb="FF000000"/>
        <rFont val="WenQuanYi Zen Hei"/>
        <family val="2"/>
      </rPr>
      <t xml:space="preserve">최적화 기록 양식</t>
    </r>
  </si>
  <si>
    <r>
      <rPr>
        <sz val="9"/>
        <color rgb="FF595959"/>
        <rFont val="WenQuanYi Zen Hei"/>
        <family val="2"/>
      </rPr>
      <t xml:space="preserve">주간 스팀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야간 전기히터 운전 전환 로직의 파라메터 실측 및 최적화용 현장 기록지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인쇄하여 현장에서 수기로 작성 후 엑셀에 옮겨 적으면 자동 계산됩니다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</si>
  <si>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점검 정보</t>
    </r>
  </si>
  <si>
    <t xml:space="preserve">현장명</t>
  </si>
  <si>
    <t xml:space="preserve">점검일자</t>
  </si>
  <si>
    <t xml:space="preserve">점검자</t>
  </si>
  <si>
    <r>
      <rPr>
        <b val="true"/>
        <sz val="10"/>
        <color rgb="FF000000"/>
        <rFont val="WenQuanYi Zen Hei"/>
        <family val="2"/>
      </rPr>
      <t xml:space="preserve">입회자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운전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제어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</si>
  <si>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Metasys </t>
    </r>
    <r>
      <rPr>
        <b val="true"/>
        <sz val="10"/>
        <color rgb="FF000000"/>
        <rFont val="WenQuanYi Zen Hei"/>
        <family val="2"/>
      </rPr>
      <t xml:space="preserve">버전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프로그램</t>
    </r>
  </si>
  <si>
    <r>
      <rPr>
        <b val="true"/>
        <sz val="10"/>
        <color rgb="FF000000"/>
        <rFont val="WenQuanYi Zen Hei"/>
        <family val="2"/>
      </rPr>
      <t xml:space="preserve">날씨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외기온도</t>
    </r>
    <r>
      <rPr>
        <b val="true"/>
        <sz val="10"/>
        <color rgb="FF000000"/>
        <rFont val="맑은 고딕"/>
        <family val="0"/>
        <charset val="1"/>
      </rPr>
      <t xml:space="preserve">(℃)</t>
    </r>
  </si>
  <si>
    <r>
      <rPr>
        <b val="true"/>
        <sz val="10"/>
        <color rgb="FF000000"/>
        <rFont val="맑은 고딕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셀 색상 범례</t>
    </r>
  </si>
  <si>
    <r>
      <rPr>
        <sz val="10"/>
        <color rgb="FF000000"/>
        <rFont val="WenQuanYi Zen Hei"/>
        <family val="2"/>
      </rPr>
      <t xml:space="preserve">현장 입력 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노란색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여기에만 값을 적습니다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</si>
  <si>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자동 계산 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연두색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수식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입력 금지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</si>
  <si>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신규 제안 파라메터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주황색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현 </t>
    </r>
    <r>
      <rPr>
        <sz val="10"/>
        <color rgb="FF000000"/>
        <rFont val="맑은 고딕"/>
        <family val="0"/>
        <charset val="1"/>
      </rPr>
      <t xml:space="preserve">UI</t>
    </r>
    <r>
      <rPr>
        <sz val="10"/>
        <color rgb="FF000000"/>
        <rFont val="WenQuanYi Zen Hei"/>
        <family val="2"/>
      </rPr>
      <t xml:space="preserve">에 없음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로직 수정 시 추가 검토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</si>
  <si>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예시 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회색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작성 예시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실제 기록 시 덮어쓰거나 지우세요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</si>
  <si>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파란 글씨</t>
  </si>
  <si>
    <r>
      <rPr>
        <sz val="10"/>
        <color rgb="FF000000"/>
        <rFont val="맑은 고딕"/>
        <family val="0"/>
        <charset val="1"/>
      </rPr>
      <t xml:space="preserve">Metasys </t>
    </r>
    <r>
      <rPr>
        <sz val="10"/>
        <color rgb="FF000000"/>
        <rFont val="WenQuanYi Zen Hei"/>
        <family val="2"/>
      </rPr>
      <t xml:space="preserve">화면 캡처에서 옮겨 적은 현재값</t>
    </r>
    <r>
      <rPr>
        <sz val="10"/>
        <color rgb="FF000000"/>
        <rFont val="맑은 고딕"/>
        <family val="0"/>
        <charset val="1"/>
      </rPr>
      <t xml:space="preserve">(As-found). </t>
    </r>
    <r>
      <rPr>
        <sz val="10"/>
        <color rgb="FF000000"/>
        <rFont val="WenQuanYi Zen Hei"/>
        <family val="2"/>
      </rPr>
      <t xml:space="preserve">현장에서 다시 확인하세요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</si>
  <si>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대상 설비 </t>
    </r>
    <r>
      <rPr>
        <b val="true"/>
        <sz val="10"/>
        <color rgb="FF000000"/>
        <rFont val="맑은 고딕"/>
        <family val="0"/>
        <charset val="1"/>
      </rPr>
      <t xml:space="preserve">(Metasys UI </t>
    </r>
    <r>
      <rPr>
        <b val="true"/>
        <sz val="10"/>
        <color rgb="FF000000"/>
        <rFont val="WenQuanYi Zen Hei"/>
        <family val="2"/>
      </rPr>
      <t xml:space="preserve">기준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</si>
  <si>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AHU</t>
  </si>
  <si>
    <t xml:space="preserve">구분</t>
  </si>
  <si>
    <t xml:space="preserve">전기히터 단수</t>
  </si>
  <si>
    <t xml:space="preserve">급기온도 센서</t>
  </si>
  <si>
    <r>
      <rPr>
        <b val="true"/>
        <sz val="9"/>
        <color rgb="FFFFFFFF"/>
        <rFont val="WenQuanYi Zen Hei"/>
        <family val="2"/>
      </rPr>
      <t xml:space="preserve">헤더 압력 </t>
    </r>
    <r>
      <rPr>
        <b val="true"/>
        <sz val="9"/>
        <color rgb="FFFFFFFF"/>
        <rFont val="맑은 고딕"/>
        <family val="0"/>
        <charset val="1"/>
      </rPr>
      <t xml:space="preserve">SP</t>
    </r>
  </si>
  <si>
    <t xml:space="preserve">헤더 압력계</t>
  </si>
  <si>
    <r>
      <rPr>
        <b val="true"/>
        <sz val="9"/>
        <color rgb="FFFFFFFF"/>
        <rFont val="WenQuanYi Zen Hei"/>
        <family val="2"/>
      </rPr>
      <t xml:space="preserve">현재 </t>
    </r>
    <r>
      <rPr>
        <b val="true"/>
        <sz val="9"/>
        <color rgb="FFFFFFFF"/>
        <rFont val="맑은 고딕"/>
        <family val="0"/>
        <charset val="1"/>
      </rPr>
      <t xml:space="preserve">Time Delay</t>
    </r>
  </si>
  <si>
    <t xml:space="preserve">비고</t>
  </si>
  <si>
    <t xml:space="preserve">AHU-G203</t>
  </si>
  <si>
    <t xml:space="preserve">일반제동</t>
  </si>
  <si>
    <t xml:space="preserve">PRE-1, PRE-2</t>
  </si>
  <si>
    <t xml:space="preserve">AHU-G204</t>
  </si>
  <si>
    <r>
      <rPr>
        <sz val="10"/>
        <color rgb="FF000000"/>
        <rFont val="WenQuanYi Zen Hei"/>
        <family val="2"/>
      </rPr>
      <t xml:space="preserve">캡처 시 </t>
    </r>
    <r>
      <rPr>
        <sz val="10"/>
        <color rgb="FF000000"/>
        <rFont val="맑은 고딕"/>
        <family val="0"/>
        <charset val="1"/>
      </rPr>
      <t xml:space="preserve">Override </t>
    </r>
    <r>
      <rPr>
        <sz val="10"/>
        <color rgb="FF000000"/>
        <rFont val="WenQuanYi Zen Hei"/>
        <family val="2"/>
      </rPr>
      <t xml:space="preserve">운전</t>
    </r>
  </si>
  <si>
    <t xml:space="preserve">AHU-G213</t>
  </si>
  <si>
    <t xml:space="preserve">AHU-G301</t>
  </si>
  <si>
    <r>
      <rPr>
        <sz val="10"/>
        <color rgb="FF000000"/>
        <rFont val="WenQuanYi Zen Hei"/>
        <family val="2"/>
      </rPr>
      <t xml:space="preserve">캡처 시 </t>
    </r>
    <r>
      <rPr>
        <sz val="10"/>
        <color rgb="FF000000"/>
        <rFont val="맑은 고딕"/>
        <family val="0"/>
        <charset val="1"/>
      </rPr>
      <t xml:space="preserve">Override </t>
    </r>
    <r>
      <rPr>
        <sz val="10"/>
        <color rgb="FF000000"/>
        <rFont val="WenQuanYi Zen Hei"/>
        <family val="2"/>
      </rPr>
      <t xml:space="preserve">운전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히터 </t>
    </r>
    <r>
      <rPr>
        <sz val="10"/>
        <color rgb="FF000000"/>
        <rFont val="맑은 고딕"/>
        <family val="0"/>
        <charset val="1"/>
      </rPr>
      <t xml:space="preserve">#1</t>
    </r>
    <r>
      <rPr>
        <sz val="10"/>
        <color rgb="FF000000"/>
        <rFont val="WenQuanYi Zen Hei"/>
        <family val="2"/>
      </rPr>
      <t xml:space="preserve">그룹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맑은 고딕"/>
        <family val="0"/>
        <charset val="1"/>
      </rPr>
      <t xml:space="preserve">+ #2</t>
    </r>
    <r>
      <rPr>
        <sz val="10"/>
        <color rgb="FF000000"/>
        <rFont val="WenQuanYi Zen Hei"/>
        <family val="2"/>
      </rPr>
      <t xml:space="preserve">그룹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단</t>
    </r>
    <r>
      <rPr>
        <sz val="10"/>
        <color rgb="FF000000"/>
        <rFont val="맑은 고딕"/>
        <family val="0"/>
        <charset val="1"/>
      </rPr>
      <t xml:space="preserve">, Supply Temp-1/-2</t>
    </r>
  </si>
  <si>
    <t xml:space="preserve">AHU-G107</t>
  </si>
  <si>
    <t xml:space="preserve">세파제동</t>
  </si>
  <si>
    <r>
      <rPr>
        <sz val="10"/>
        <color rgb="FF000000"/>
        <rFont val="WenQuanYi Zen Hei"/>
        <family val="2"/>
      </rPr>
      <t xml:space="preserve">헤더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개</t>
    </r>
  </si>
  <si>
    <r>
      <rPr>
        <sz val="10"/>
        <color rgb="FF000000"/>
        <rFont val="WenQuanYi Zen Hei"/>
        <family val="2"/>
      </rPr>
      <t xml:space="preserve">캡처 시 </t>
    </r>
    <r>
      <rPr>
        <sz val="10"/>
        <color rgb="FF000000"/>
        <rFont val="맑은 고딕"/>
        <family val="0"/>
        <charset val="1"/>
      </rPr>
      <t xml:space="preserve">Override(</t>
    </r>
    <r>
      <rPr>
        <sz val="10"/>
        <color rgb="FF000000"/>
        <rFont val="WenQuanYi Zen Hei"/>
        <family val="2"/>
      </rPr>
      <t xml:space="preserve">강제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운전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스팀 공급 헤더온도 센서 별도</t>
    </r>
  </si>
  <si>
    <r>
      <rPr>
        <b val="true"/>
        <sz val="10"/>
        <color rgb="FF000000"/>
        <rFont val="맑은 고딕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시트 구성 및 권장 작성 순서</t>
    </r>
  </si>
  <si>
    <t xml:space="preserve">시트</t>
  </si>
  <si>
    <t xml:space="preserve">내용</t>
  </si>
  <si>
    <r>
      <rPr>
        <b val="true"/>
        <sz val="10"/>
        <color rgb="FF000000"/>
        <rFont val="맑은 고딕"/>
        <family val="0"/>
        <charset val="1"/>
      </rPr>
      <t xml:space="preserve">1_</t>
    </r>
    <r>
      <rPr>
        <b val="true"/>
        <sz val="10"/>
        <color rgb="FF000000"/>
        <rFont val="WenQuanYi Zen Hei"/>
        <family val="2"/>
      </rPr>
      <t xml:space="preserve">파라메터기록</t>
    </r>
  </si>
  <si>
    <r>
      <rPr>
        <sz val="10"/>
        <color rgb="FF000000"/>
        <rFont val="WenQuanYi Zen Hei"/>
        <family val="2"/>
      </rPr>
      <t xml:space="preserve">현재 세팅값</t>
    </r>
    <r>
      <rPr>
        <sz val="10"/>
        <color rgb="FF000000"/>
        <rFont val="맑은 고딕"/>
        <family val="0"/>
        <charset val="1"/>
      </rPr>
      <t xml:space="preserve">(As-found) </t>
    </r>
    <r>
      <rPr>
        <sz val="10"/>
        <color rgb="FF000000"/>
        <rFont val="WenQuanYi Zen Hei"/>
        <family val="2"/>
      </rPr>
      <t xml:space="preserve">확인 → 조정 후 값</t>
    </r>
    <r>
      <rPr>
        <sz val="10"/>
        <color rgb="FF000000"/>
        <rFont val="맑은 고딕"/>
        <family val="0"/>
        <charset val="1"/>
      </rPr>
      <t xml:space="preserve">(As-left) </t>
    </r>
    <r>
      <rPr>
        <sz val="10"/>
        <color rgb="FF000000"/>
        <rFont val="WenQuanYi Zen Hei"/>
        <family val="2"/>
      </rPr>
      <t xml:space="preserve">기록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현장 계기 </t>
    </r>
    <r>
      <rPr>
        <sz val="10"/>
        <color rgb="FF000000"/>
        <rFont val="맑은 고딕"/>
        <family val="0"/>
        <charset val="1"/>
      </rPr>
      <t xml:space="preserve">vs UI </t>
    </r>
    <r>
      <rPr>
        <sz val="10"/>
        <color rgb="FF000000"/>
        <rFont val="WenQuanYi Zen Hei"/>
        <family val="2"/>
      </rPr>
      <t xml:space="preserve">비교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</si>
  <si>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2_</t>
    </r>
    <r>
      <rPr>
        <b val="true"/>
        <sz val="10"/>
        <color rgb="FF000000"/>
        <rFont val="WenQuanYi Zen Hei"/>
        <family val="2"/>
      </rPr>
      <t xml:space="preserve">밸브상태</t>
    </r>
  </si>
  <si>
    <r>
      <rPr>
        <sz val="10"/>
        <color rgb="FF000000"/>
        <rFont val="맑은 고딕"/>
        <family val="0"/>
        <charset val="1"/>
      </rPr>
      <t xml:space="preserve">AHU</t>
    </r>
    <r>
      <rPr>
        <sz val="10"/>
        <color rgb="FF000000"/>
        <rFont val="WenQuanYi Zen Hei"/>
        <family val="2"/>
      </rPr>
      <t xml:space="preserve">별 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게이트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자동밸브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게이트</t>
    </r>
    <r>
      <rPr>
        <sz val="10"/>
        <color rgb="FF000000"/>
        <rFont val="맑은 고딕"/>
        <family val="0"/>
        <charset val="1"/>
      </rPr>
      <t xml:space="preserve">]+</t>
    </r>
    <r>
      <rPr>
        <sz val="10"/>
        <color rgb="FF000000"/>
        <rFont val="WenQuanYi Zen Hei"/>
        <family val="2"/>
      </rPr>
      <t xml:space="preserve">바이패스 상태를 전기모드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스팀모드 각각 기록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밸브 사양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스트로크 실측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</si>
  <si>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3_</t>
    </r>
    <r>
      <rPr>
        <b val="true"/>
        <sz val="10"/>
        <color rgb="FF000000"/>
        <rFont val="WenQuanYi Zen Hei"/>
        <family val="2"/>
      </rPr>
      <t xml:space="preserve">전환시간실측</t>
    </r>
  </si>
  <si>
    <r>
      <rPr>
        <sz val="10"/>
        <color rgb="FF000000"/>
        <rFont val="WenQuanYi Zen Hei"/>
        <family val="2"/>
      </rPr>
      <t xml:space="preserve">전기→스팀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스팀→전기 전환 시 각 이벤트 시각</t>
    </r>
    <r>
      <rPr>
        <sz val="10"/>
        <color rgb="FF000000"/>
        <rFont val="맑은 고딕"/>
        <family val="0"/>
        <charset val="1"/>
      </rPr>
      <t xml:space="preserve">(hh:mm:ss) </t>
    </r>
    <r>
      <rPr>
        <sz val="10"/>
        <color rgb="FF000000"/>
        <rFont val="WenQuanYi Zen Hei"/>
        <family val="2"/>
      </rPr>
      <t xml:space="preserve">기록 → 지연시간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열공백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권장 </t>
    </r>
    <r>
      <rPr>
        <sz val="10"/>
        <color rgb="FF000000"/>
        <rFont val="맑은 고딕"/>
        <family val="0"/>
        <charset val="1"/>
      </rPr>
      <t xml:space="preserve">Time Delay </t>
    </r>
    <r>
      <rPr>
        <sz val="10"/>
        <color rgb="FF000000"/>
        <rFont val="WenQuanYi Zen Hei"/>
        <family val="2"/>
      </rPr>
      <t xml:space="preserve">자동 계산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</si>
  <si>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4_</t>
    </r>
    <r>
      <rPr>
        <b val="true"/>
        <sz val="10"/>
        <color rgb="FF000000"/>
        <rFont val="WenQuanYi Zen Hei"/>
        <family val="2"/>
      </rPr>
      <t xml:space="preserve">초기개도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트렌드</t>
    </r>
  </si>
  <si>
    <r>
      <rPr>
        <sz val="10"/>
        <color rgb="FF000000"/>
        <rFont val="WenQuanYi Zen Hei"/>
        <family val="2"/>
      </rPr>
      <t xml:space="preserve">밸브 초기개도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램프율 시험 시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분 간격 트렌드 기록 → 급기온도 상승률 자동 판정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보관소 급승온 방지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</si>
  <si>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b val="true"/>
        <sz val="10"/>
        <color rgb="FF000000"/>
        <rFont val="맑은 고딕"/>
        <family val="0"/>
        <charset val="1"/>
      </rPr>
      <t xml:space="preserve">5_</t>
    </r>
    <r>
      <rPr>
        <b val="true"/>
        <sz val="10"/>
        <color rgb="FF000000"/>
        <rFont val="WenQuanYi Zen Hei"/>
        <family val="2"/>
      </rPr>
      <t xml:space="preserve">초기개도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매트릭스</t>
    </r>
  </si>
  <si>
    <r>
      <rPr>
        <sz val="10"/>
        <color rgb="FF000000"/>
        <rFont val="WenQuanYi Zen Hei"/>
        <family val="2"/>
      </rPr>
      <t xml:space="preserve">설정온도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초기개도율 조합별 결과 요약 → 최적 초기개도율 결정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</si>
  <si>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6_</t>
    </r>
    <r>
      <rPr>
        <b val="true"/>
        <sz val="10"/>
        <color rgb="FF000000"/>
        <rFont val="WenQuanYi Zen Hei"/>
        <family val="2"/>
      </rPr>
      <t xml:space="preserve">추가체크리스트</t>
    </r>
  </si>
  <si>
    <r>
      <rPr>
        <sz val="10"/>
        <color rgb="FF000000"/>
        <rFont val="WenQuanYi Zen Hei"/>
        <family val="2"/>
      </rPr>
      <t xml:space="preserve">계측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스팀계통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히터안전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보관소환경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페일세이프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에너지 점검항목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</si>
  <si>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7_</t>
    </r>
    <r>
      <rPr>
        <b val="true"/>
        <sz val="10"/>
        <color rgb="FF000000"/>
        <rFont val="WenQuanYi Zen Hei"/>
        <family val="2"/>
      </rPr>
      <t xml:space="preserve">로직개선제안</t>
    </r>
  </si>
  <si>
    <r>
      <rPr>
        <sz val="10"/>
        <color rgb="FF000000"/>
        <rFont val="맑은 고딕"/>
        <family val="0"/>
        <charset val="1"/>
      </rPr>
      <t xml:space="preserve">Metasys </t>
    </r>
    <r>
      <rPr>
        <sz val="10"/>
        <color rgb="FF000000"/>
        <rFont val="WenQuanYi Zen Hei"/>
        <family val="2"/>
      </rPr>
      <t xml:space="preserve">로직 수정 시 추가할 파라메터 제안값과 현장 결정값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</si>
  <si>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8_</t>
    </r>
    <r>
      <rPr>
        <b val="true"/>
        <sz val="10"/>
        <color rgb="FF000000"/>
        <rFont val="WenQuanYi Zen Hei"/>
        <family val="2"/>
      </rPr>
      <t xml:space="preserve">최종세팅값</t>
    </r>
  </si>
  <si>
    <r>
      <rPr>
        <sz val="10"/>
        <color rgb="FF000000"/>
        <rFont val="맑은 고딕"/>
        <family val="0"/>
        <charset val="1"/>
      </rPr>
      <t xml:space="preserve">AHU</t>
    </r>
    <r>
      <rPr>
        <sz val="10"/>
        <color rgb="FF000000"/>
        <rFont val="WenQuanYi Zen Hei"/>
        <family val="2"/>
      </rPr>
      <t xml:space="preserve">별 최종 확정값 요약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실측 시트에서 자동 집계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및 확인 서명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</si>
  <si>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5. </t>
    </r>
    <r>
      <rPr>
        <b val="true"/>
        <sz val="10"/>
        <color rgb="FF000000"/>
        <rFont val="WenQuanYi Zen Hei"/>
        <family val="2"/>
      </rPr>
      <t xml:space="preserve">시험 시 안전 수칙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보관소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</si>
  <si>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① 시험 전 보관소 담당자에게 시험 시간 통보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보관소 허용 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습도 범위 확인 후 </t>
    </r>
    <r>
      <rPr>
        <sz val="10"/>
        <color rgb="FF000000"/>
        <rFont val="맑은 고딕"/>
        <family val="0"/>
        <charset val="1"/>
      </rPr>
      <t xml:space="preserve">'4_</t>
    </r>
    <r>
      <rPr>
        <sz val="10"/>
        <color rgb="FF000000"/>
        <rFont val="WenQuanYi Zen Hei"/>
        <family val="2"/>
      </rPr>
      <t xml:space="preserve">초기개도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트렌드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상단 허용값에 기입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</si>
  <si>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② 첫 스팀 전환 시험은 자동밸브 수동 지령으로 낮은 개도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10%)</t>
    </r>
    <r>
      <rPr>
        <sz val="10"/>
        <color rgb="FF000000"/>
        <rFont val="WenQuanYi Zen Hei"/>
        <family val="2"/>
      </rPr>
      <t xml:space="preserve">부터 시작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급기온도 상승률이 허용치 초과 시 즉시 개도 낮춤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</si>
  <si>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③ 전환 시험은 </t>
    </r>
    <r>
      <rPr>
        <sz val="10"/>
        <color rgb="FF000000"/>
        <rFont val="맑은 고딕"/>
        <family val="0"/>
        <charset val="1"/>
      </rPr>
      <t xml:space="preserve">AHU 1</t>
    </r>
    <r>
      <rPr>
        <sz val="10"/>
        <color rgb="FF000000"/>
        <rFont val="WenQuanYi Zen Hei"/>
        <family val="2"/>
      </rPr>
      <t xml:space="preserve">대씩 순차 진행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동시 전환 시 헤더 압력 강하로 다른 </t>
    </r>
    <r>
      <rPr>
        <sz val="10"/>
        <color rgb="FF000000"/>
        <rFont val="맑은 고딕"/>
        <family val="0"/>
        <charset val="1"/>
      </rPr>
      <t xml:space="preserve">AHU</t>
    </r>
    <r>
      <rPr>
        <sz val="10"/>
        <color rgb="FF000000"/>
        <rFont val="WenQuanYi Zen Hei"/>
        <family val="2"/>
      </rPr>
      <t xml:space="preserve">가 연쇄 전환될 수 있음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</si>
  <si>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sz val="10"/>
        <color rgb="FF000000"/>
        <rFont val="WenQuanYi Zen Hei"/>
        <family val="2"/>
      </rPr>
      <t xml:space="preserve">④ 수동 오버라이드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밸브 수동 지령</t>
    </r>
    <r>
      <rPr>
        <sz val="10"/>
        <color rgb="FF000000"/>
        <rFont val="맑은 고딕"/>
        <family val="0"/>
        <charset val="1"/>
      </rPr>
      <t xml:space="preserve">, SRC </t>
    </r>
    <r>
      <rPr>
        <sz val="10"/>
        <color rgb="FF000000"/>
        <rFont val="WenQuanYi Zen Hei"/>
        <family val="2"/>
      </rPr>
      <t xml:space="preserve">강제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시험 종료 후 반드시 자동으로 원복 — </t>
    </r>
    <r>
      <rPr>
        <sz val="10"/>
        <color rgb="FF000000"/>
        <rFont val="맑은 고딕"/>
        <family val="0"/>
        <charset val="1"/>
      </rPr>
      <t xml:space="preserve">'6_</t>
    </r>
    <r>
      <rPr>
        <sz val="10"/>
        <color rgb="FF000000"/>
        <rFont val="WenQuanYi Zen Hei"/>
        <family val="2"/>
      </rPr>
      <t xml:space="preserve">추가체크리스트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원복 항목 체크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</si>
  <si>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⑤ 바이패스 밸브는 시험 중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닫힘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유지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바이패스 개방 상태에서는 자동밸브 제어가 무의미함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</si>
  <si>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4"/>
        <color rgb="FF000000"/>
        <rFont val="맑은 고딕"/>
        <family val="0"/>
        <charset val="1"/>
      </rPr>
      <t xml:space="preserve">1. </t>
    </r>
    <r>
      <rPr>
        <b val="true"/>
        <sz val="14"/>
        <color rgb="FF000000"/>
        <rFont val="WenQuanYi Zen Hei"/>
        <family val="2"/>
      </rPr>
      <t xml:space="preserve">시스템 파라메터 기록 </t>
    </r>
    <r>
      <rPr>
        <b val="true"/>
        <sz val="14"/>
        <color rgb="FF000000"/>
        <rFont val="맑은 고딕"/>
        <family val="0"/>
        <charset val="1"/>
      </rPr>
      <t xml:space="preserve">(As-found / As-left)</t>
    </r>
  </si>
  <si>
    <r>
      <rPr>
        <sz val="9"/>
        <color rgb="FF595959"/>
        <rFont val="맑은 고딕"/>
        <family val="0"/>
        <charset val="1"/>
      </rPr>
      <t xml:space="preserve">As-found = </t>
    </r>
    <r>
      <rPr>
        <sz val="9"/>
        <color rgb="FF595959"/>
        <rFont val="WenQuanYi Zen Hei"/>
        <family val="2"/>
      </rPr>
      <t xml:space="preserve">점검 시작 시 </t>
    </r>
    <r>
      <rPr>
        <sz val="9"/>
        <color rgb="FF595959"/>
        <rFont val="맑은 고딕"/>
        <family val="0"/>
        <charset val="1"/>
      </rPr>
      <t xml:space="preserve">UI </t>
    </r>
    <r>
      <rPr>
        <sz val="9"/>
        <color rgb="FF595959"/>
        <rFont val="WenQuanYi Zen Hei"/>
        <family val="2"/>
      </rPr>
      <t xml:space="preserve">표시값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파란 글씨는 캡처 화면값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현장 재확인</t>
    </r>
    <r>
      <rPr>
        <sz val="9"/>
        <color rgb="FF595959"/>
        <rFont val="맑은 고딕"/>
        <family val="0"/>
        <charset val="1"/>
      </rPr>
      <t xml:space="preserve">). As-left = </t>
    </r>
    <r>
      <rPr>
        <sz val="9"/>
        <color rgb="FF595959"/>
        <rFont val="WenQuanYi Zen Hei"/>
        <family val="2"/>
      </rPr>
      <t xml:space="preserve">조정 후 최종값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주황색 행은 현재 </t>
    </r>
    <r>
      <rPr>
        <sz val="9"/>
        <color rgb="FF595959"/>
        <rFont val="맑은 고딕"/>
        <family val="0"/>
        <charset val="1"/>
      </rPr>
      <t xml:space="preserve">UI</t>
    </r>
    <r>
      <rPr>
        <sz val="9"/>
        <color rgb="FF595959"/>
        <rFont val="WenQuanYi Zen Hei"/>
        <family val="2"/>
      </rPr>
      <t xml:space="preserve">에 없는 신규 제안 항목</t>
    </r>
    <r>
      <rPr>
        <sz val="9"/>
        <color rgb="FF595959"/>
        <rFont val="맑은 고딕"/>
        <family val="0"/>
        <charset val="1"/>
      </rPr>
      <t xml:space="preserve">('7_</t>
    </r>
    <r>
      <rPr>
        <sz val="9"/>
        <color rgb="FF595959"/>
        <rFont val="WenQuanYi Zen Hei"/>
        <family val="2"/>
      </rPr>
      <t xml:space="preserve">로직개선제안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참조</t>
    </r>
    <r>
      <rPr>
        <sz val="9"/>
        <color rgb="FF595959"/>
        <rFont val="맑은 고딕"/>
        <family val="0"/>
        <charset val="1"/>
      </rPr>
      <t xml:space="preserve">).</t>
    </r>
  </si>
  <si>
    <t xml:space="preserve">No</t>
  </si>
  <si>
    <t xml:space="preserve">파라메터</t>
  </si>
  <si>
    <t xml:space="preserve">단위</t>
  </si>
  <si>
    <r>
      <rPr>
        <b val="true"/>
        <sz val="9"/>
        <color rgb="FFFFFFFF"/>
        <rFont val="맑은 고딕"/>
        <family val="0"/>
        <charset val="1"/>
      </rPr>
      <t xml:space="preserve">AHU-G203
(</t>
    </r>
    <r>
      <rPr>
        <b val="true"/>
        <sz val="9"/>
        <color rgb="FFFFFFFF"/>
        <rFont val="WenQuanYi Zen Hei"/>
        <family val="2"/>
      </rPr>
      <t xml:space="preserve">일반제동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</si>
  <si>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AHU-G204
(</t>
    </r>
    <r>
      <rPr>
        <b val="true"/>
        <sz val="9"/>
        <color rgb="FFFFFFFF"/>
        <rFont val="WenQuanYi Zen Hei"/>
        <family val="2"/>
      </rPr>
      <t xml:space="preserve">일반제동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</si>
  <si>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AHU-G213
(</t>
    </r>
    <r>
      <rPr>
        <b val="true"/>
        <sz val="9"/>
        <color rgb="FFFFFFFF"/>
        <rFont val="WenQuanYi Zen Hei"/>
        <family val="2"/>
      </rPr>
      <t xml:space="preserve">일반제동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</si>
  <si>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AHU-G301
(</t>
    </r>
    <r>
      <rPr>
        <b val="true"/>
        <sz val="9"/>
        <color rgb="FFFFFFFF"/>
        <rFont val="WenQuanYi Zen Hei"/>
        <family val="2"/>
      </rPr>
      <t xml:space="preserve">일반제동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</si>
  <si>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AHU-G107
(</t>
    </r>
    <r>
      <rPr>
        <b val="true"/>
        <sz val="9"/>
        <color rgb="FFFFFFFF"/>
        <rFont val="WenQuanYi Zen Hei"/>
        <family val="2"/>
      </rPr>
      <t xml:space="preserve">세파제동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</si>
  <si>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비고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확인사항</t>
    </r>
  </si>
  <si>
    <t xml:space="preserve">As-found</t>
  </si>
  <si>
    <t xml:space="preserve">As-left</t>
  </si>
  <si>
    <t xml:space="preserve">헤더</t>
  </si>
  <si>
    <r>
      <rPr>
        <sz val="10"/>
        <color rgb="FF000000"/>
        <rFont val="맑은 고딕"/>
        <family val="0"/>
        <charset val="1"/>
      </rPr>
      <t xml:space="preserve">Pressure Setpoint (</t>
    </r>
    <r>
      <rPr>
        <sz val="10"/>
        <color rgb="FF000000"/>
        <rFont val="WenQuanYi Zen Hei"/>
        <family val="2"/>
      </rPr>
      <t xml:space="preserve">스팀 전환 압력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</si>
  <si>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bar</t>
  </si>
  <si>
    <r>
      <rPr>
        <sz val="9"/>
        <color rgb="FF000000"/>
        <rFont val="WenQuanYi Zen Hei"/>
        <family val="2"/>
      </rPr>
      <t xml:space="preserve">일반제동 </t>
    </r>
    <r>
      <rPr>
        <sz val="9"/>
        <color rgb="FF000000"/>
        <rFont val="맑은 고딕"/>
        <family val="0"/>
        <charset val="1"/>
      </rPr>
      <t xml:space="preserve">10.0</t>
    </r>
    <r>
      <rPr>
        <sz val="9"/>
        <color rgb="FF000000"/>
        <rFont val="WenQuanYi Zen Hei"/>
        <family val="2"/>
      </rPr>
      <t xml:space="preserve">은 미세팅 임시값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헤더 최고 약 </t>
    </r>
    <r>
      <rPr>
        <sz val="9"/>
        <color rgb="FF000000"/>
        <rFont val="맑은 고딕"/>
        <family val="0"/>
        <charset val="1"/>
      </rPr>
      <t xml:space="preserve">8 bar → </t>
    </r>
    <r>
      <rPr>
        <sz val="9"/>
        <color rgb="FF000000"/>
        <rFont val="WenQuanYi Zen Hei"/>
        <family val="2"/>
      </rPr>
      <t xml:space="preserve">현재값으론 전환 안 됨</t>
    </r>
    <r>
      <rPr>
        <sz val="9"/>
        <color rgb="FF000000"/>
        <rFont val="맑은 고딕"/>
        <family val="0"/>
        <charset val="1"/>
      </rPr>
      <t xml:space="preserve">). </t>
    </r>
    <r>
      <rPr>
        <sz val="9"/>
        <color rgb="FF000000"/>
        <rFont val="WenQuanYi Zen Hei"/>
        <family val="2"/>
      </rPr>
      <t xml:space="preserve">하단 압력 프로파일로 결정</t>
    </r>
  </si>
  <si>
    <r>
      <rPr>
        <sz val="10"/>
        <color rgb="FF000000"/>
        <rFont val="WenQuanYi Zen Hei"/>
        <family val="2"/>
      </rPr>
      <t xml:space="preserve">헤더 압력 </t>
    </r>
    <r>
      <rPr>
        <sz val="10"/>
        <color rgb="FF000000"/>
        <rFont val="맑은 고딕"/>
        <family val="0"/>
        <charset val="1"/>
      </rPr>
      <t xml:space="preserve">PRE-1 (UI </t>
    </r>
    <r>
      <rPr>
        <sz val="10"/>
        <color rgb="FF000000"/>
        <rFont val="WenQuanYi Zen Hei"/>
        <family val="2"/>
      </rPr>
      <t xml:space="preserve">표시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</si>
  <si>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점검 시각의 순간값</t>
  </si>
  <si>
    <r>
      <rPr>
        <sz val="10"/>
        <color rgb="FF000000"/>
        <rFont val="WenQuanYi Zen Hei"/>
        <family val="2"/>
      </rPr>
      <t xml:space="preserve">헤더 압력 </t>
    </r>
    <r>
      <rPr>
        <sz val="10"/>
        <color rgb="FF000000"/>
        <rFont val="맑은 고딕"/>
        <family val="0"/>
        <charset val="1"/>
      </rPr>
      <t xml:space="preserve">PRE-2 (UI </t>
    </r>
    <r>
      <rPr>
        <sz val="10"/>
        <color rgb="FF000000"/>
        <rFont val="WenQuanYi Zen Hei"/>
        <family val="2"/>
      </rPr>
      <t xml:space="preserve">표시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</si>
  <si>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세파제동은 압력계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개</t>
    </r>
  </si>
  <si>
    <t xml:space="preserve">헤더 압력 현장 압력계 지시값</t>
  </si>
  <si>
    <r>
      <rPr>
        <sz val="9"/>
        <color rgb="FF000000"/>
        <rFont val="맑은 고딕"/>
        <family val="0"/>
        <charset val="1"/>
      </rPr>
      <t xml:space="preserve">UI</t>
    </r>
    <r>
      <rPr>
        <sz val="9"/>
        <color rgb="FF000000"/>
        <rFont val="WenQuanYi Zen Hei"/>
        <family val="2"/>
      </rPr>
      <t xml:space="preserve">와 편차 </t>
    </r>
    <r>
      <rPr>
        <sz val="9"/>
        <color rgb="FF000000"/>
        <rFont val="맑은 고딕"/>
        <family val="0"/>
        <charset val="1"/>
      </rPr>
      <t xml:space="preserve">0.2 bar </t>
    </r>
    <r>
      <rPr>
        <sz val="9"/>
        <color rgb="FF000000"/>
        <rFont val="WenQuanYi Zen Hei"/>
        <family val="2"/>
      </rPr>
      <t xml:space="preserve">초과 시 교정 검토</t>
    </r>
  </si>
  <si>
    <r>
      <rPr>
        <sz val="10"/>
        <color rgb="FF000000"/>
        <rFont val="WenQuanYi Zen Hei"/>
        <family val="2"/>
      </rPr>
      <t xml:space="preserve">스팀 공급 헤더 온도 </t>
    </r>
    <r>
      <rPr>
        <sz val="10"/>
        <color rgb="FF000000"/>
        <rFont val="맑은 고딕"/>
        <family val="0"/>
        <charset val="1"/>
      </rPr>
      <t xml:space="preserve">(UI)</t>
    </r>
  </si>
  <si>
    <t xml:space="preserve">℃</t>
  </si>
  <si>
    <t xml:space="preserve">세파제동만 표시</t>
  </si>
  <si>
    <r>
      <rPr>
        <sz val="10"/>
        <color rgb="FF000000"/>
        <rFont val="맑은 고딕"/>
        <family val="0"/>
        <charset val="1"/>
      </rPr>
      <t xml:space="preserve">SRC Enable (</t>
    </r>
    <r>
      <rPr>
        <sz val="10"/>
        <color rgb="FF000000"/>
        <rFont val="WenQuanYi Zen Hei"/>
        <family val="2"/>
      </rPr>
      <t xml:space="preserve">표시 색상 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</si>
  <si>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-</t>
  </si>
  <si>
    <r>
      <rPr>
        <sz val="10"/>
        <color rgb="FF0000FF"/>
        <rFont val="맑은 고딕"/>
        <family val="0"/>
        <charset val="1"/>
      </rPr>
      <t xml:space="preserve">Enable(</t>
    </r>
    <r>
      <rPr>
        <sz val="10"/>
        <color rgb="FF0000FF"/>
        <rFont val="WenQuanYi Zen Hei"/>
        <family val="2"/>
      </rPr>
      <t xml:space="preserve">녹색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</si>
  <si>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Override(</t>
    </r>
    <r>
      <rPr>
        <sz val="10"/>
        <color rgb="FF0000FF"/>
        <rFont val="WenQuanYi Zen Hei"/>
        <family val="2"/>
      </rPr>
      <t xml:space="preserve">주황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</si>
  <si>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녹색 </t>
    </r>
    <r>
      <rPr>
        <sz val="9"/>
        <color rgb="FF000000"/>
        <rFont val="맑은 고딕"/>
        <family val="0"/>
        <charset val="1"/>
      </rPr>
      <t xml:space="preserve">= Enable(</t>
    </r>
    <r>
      <rPr>
        <sz val="9"/>
        <color rgb="FF000000"/>
        <rFont val="WenQuanYi Zen Hei"/>
        <family val="2"/>
      </rPr>
      <t xml:space="preserve">정상 가동</t>
    </r>
    <r>
      <rPr>
        <sz val="9"/>
        <color rgb="FF000000"/>
        <rFont val="맑은 고딕"/>
        <family val="0"/>
        <charset val="1"/>
      </rPr>
      <t xml:space="preserve">) / </t>
    </r>
    <r>
      <rPr>
        <sz val="9"/>
        <color rgb="FF000000"/>
        <rFont val="WenQuanYi Zen Hei"/>
        <family val="2"/>
      </rPr>
      <t xml:space="preserve">주황 </t>
    </r>
    <r>
      <rPr>
        <sz val="9"/>
        <color rgb="FF000000"/>
        <rFont val="맑은 고딕"/>
        <family val="0"/>
        <charset val="1"/>
      </rPr>
      <t xml:space="preserve">= Override Operation. </t>
    </r>
    <r>
      <rPr>
        <sz val="9"/>
        <color rgb="FF000000"/>
        <rFont val="WenQuanYi Zen Hei"/>
        <family val="2"/>
      </rPr>
      <t xml:space="preserve">시험 후 </t>
    </r>
    <r>
      <rPr>
        <sz val="9"/>
        <color rgb="FF000000"/>
        <rFont val="맑은 고딕"/>
        <family val="0"/>
        <charset val="1"/>
      </rPr>
      <t xml:space="preserve">Enable </t>
    </r>
    <r>
      <rPr>
        <sz val="9"/>
        <color rgb="FF000000"/>
        <rFont val="WenQuanYi Zen Hei"/>
        <family val="2"/>
      </rPr>
      <t xml:space="preserve">원복</t>
    </r>
  </si>
  <si>
    <t xml:space="preserve">Diff Setpoint</t>
  </si>
  <si>
    <t xml:space="preserve">Time Delay</t>
  </si>
  <si>
    <r>
      <rPr>
        <sz val="10"/>
        <color rgb="FF000000"/>
        <rFont val="WenQuanYi Zen Hei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분</t>
    </r>
  </si>
  <si>
    <r>
      <rPr>
        <sz val="9"/>
        <color rgb="FF000000"/>
        <rFont val="WenQuanYi Zen Hei"/>
        <family val="2"/>
      </rPr>
      <t xml:space="preserve">미세팅 — 이번 실측</t>
    </r>
    <r>
      <rPr>
        <sz val="9"/>
        <color rgb="FF000000"/>
        <rFont val="맑은 고딕"/>
        <family val="0"/>
        <charset val="1"/>
      </rPr>
      <t xml:space="preserve">(3_</t>
    </r>
    <r>
      <rPr>
        <sz val="9"/>
        <color rgb="FF000000"/>
        <rFont val="WenQuanYi Zen Hei"/>
        <family val="2"/>
      </rPr>
      <t xml:space="preserve">전환시간실측 권장값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으로 결정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입력 단위 확인</t>
    </r>
  </si>
  <si>
    <r>
      <rPr>
        <sz val="10"/>
        <color rgb="FF000000"/>
        <rFont val="WenQuanYi Zen Hei"/>
        <family val="2"/>
      </rPr>
      <t xml:space="preserve">급기온도 설정값</t>
    </r>
    <r>
      <rPr>
        <sz val="10"/>
        <color rgb="FF000000"/>
        <rFont val="맑은 고딕"/>
        <family val="0"/>
        <charset val="1"/>
      </rPr>
      <t xml:space="preserve">(SP)</t>
    </r>
  </si>
  <si>
    <r>
      <rPr>
        <sz val="9"/>
        <color rgb="FF000000"/>
        <rFont val="맑은 고딕"/>
        <family val="0"/>
        <charset val="1"/>
      </rPr>
      <t xml:space="preserve">UI </t>
    </r>
    <r>
      <rPr>
        <sz val="9"/>
        <color rgb="FF000000"/>
        <rFont val="WenQuanYi Zen Hei"/>
        <family val="2"/>
      </rPr>
      <t xml:space="preserve">미표시 — 프로그램에서 확인</t>
    </r>
  </si>
  <si>
    <t xml:space="preserve">Supply Temp (-1)</t>
  </si>
  <si>
    <t xml:space="preserve">Supply Temp-2</t>
  </si>
  <si>
    <r>
      <rPr>
        <sz val="9"/>
        <color rgb="FF000000"/>
        <rFont val="맑은 고딕"/>
        <family val="0"/>
        <charset val="1"/>
      </rPr>
      <t xml:space="preserve">G301</t>
    </r>
    <r>
      <rPr>
        <sz val="9"/>
        <color rgb="FF000000"/>
        <rFont val="WenQuanYi Zen Hei"/>
        <family val="2"/>
      </rPr>
      <t xml:space="preserve">만 해당</t>
    </r>
  </si>
  <si>
    <t xml:space="preserve">급기온도 현장 측정값</t>
  </si>
  <si>
    <r>
      <rPr>
        <sz val="9"/>
        <color rgb="FF000000"/>
        <rFont val="맑은 고딕"/>
        <family val="0"/>
        <charset val="1"/>
      </rPr>
      <t xml:space="preserve">UI</t>
    </r>
    <r>
      <rPr>
        <sz val="9"/>
        <color rgb="FF000000"/>
        <rFont val="WenQuanYi Zen Hei"/>
        <family val="2"/>
      </rPr>
      <t xml:space="preserve">와 편차 </t>
    </r>
    <r>
      <rPr>
        <sz val="9"/>
        <color rgb="FF000000"/>
        <rFont val="맑은 고딕"/>
        <family val="0"/>
        <charset val="1"/>
      </rPr>
      <t xml:space="preserve">0.5℃ </t>
    </r>
    <r>
      <rPr>
        <sz val="9"/>
        <color rgb="FF000000"/>
        <rFont val="WenQuanYi Zen Hei"/>
        <family val="2"/>
      </rPr>
      <t xml:space="preserve">초과 시 센서 점검</t>
    </r>
  </si>
  <si>
    <r>
      <rPr>
        <sz val="10"/>
        <color rgb="FF000000"/>
        <rFont val="WenQuanYi Zen Hei"/>
        <family val="2"/>
      </rPr>
      <t xml:space="preserve">보관소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실내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온도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습도</t>
    </r>
  </si>
  <si>
    <t xml:space="preserve">℃ / %</t>
  </si>
  <si>
    <r>
      <rPr>
        <sz val="9"/>
        <color rgb="FF000000"/>
        <rFont val="WenQuanYi Zen Hei"/>
        <family val="2"/>
      </rPr>
      <t xml:space="preserve">예</t>
    </r>
    <r>
      <rPr>
        <sz val="9"/>
        <color rgb="FF000000"/>
        <rFont val="맑은 고딕"/>
        <family val="0"/>
        <charset val="1"/>
      </rPr>
      <t xml:space="preserve">: 20.5 / 45</t>
    </r>
  </si>
  <si>
    <r>
      <rPr>
        <sz val="10"/>
        <color rgb="FF000000"/>
        <rFont val="맑은 고딕"/>
        <family val="0"/>
        <charset val="1"/>
      </rPr>
      <t xml:space="preserve">Alarm </t>
    </r>
    <r>
      <rPr>
        <sz val="10"/>
        <color rgb="FF000000"/>
        <rFont val="WenQuanYi Zen Hei"/>
        <family val="2"/>
      </rPr>
      <t xml:space="preserve">상태</t>
    </r>
  </si>
  <si>
    <t xml:space="preserve">Normal</t>
  </si>
  <si>
    <r>
      <rPr>
        <sz val="10"/>
        <color rgb="FF000000"/>
        <rFont val="WenQuanYi Zen Hei"/>
        <family val="2"/>
      </rPr>
      <t xml:space="preserve">전기히터 </t>
    </r>
    <r>
      <rPr>
        <sz val="10"/>
        <color rgb="FF000000"/>
        <rFont val="맑은 고딕"/>
        <family val="0"/>
        <charset val="1"/>
      </rPr>
      <t xml:space="preserve">Command ON </t>
    </r>
    <r>
      <rPr>
        <sz val="10"/>
        <color rgb="FF000000"/>
        <rFont val="WenQuanYi Zen Hei"/>
        <family val="2"/>
      </rPr>
      <t xml:space="preserve">단수</t>
    </r>
  </si>
  <si>
    <t xml:space="preserve">단</t>
  </si>
  <si>
    <r>
      <rPr>
        <sz val="9"/>
        <color rgb="FF000000"/>
        <rFont val="맑은 고딕"/>
        <family val="0"/>
        <charset val="1"/>
      </rPr>
      <t xml:space="preserve">Command</t>
    </r>
    <r>
      <rPr>
        <sz val="9"/>
        <color rgb="FF000000"/>
        <rFont val="WenQuanYi Zen Hei"/>
        <family val="2"/>
      </rPr>
      <t xml:space="preserve">와 </t>
    </r>
    <r>
      <rPr>
        <sz val="9"/>
        <color rgb="FF000000"/>
        <rFont val="맑은 고딕"/>
        <family val="0"/>
        <charset val="1"/>
      </rPr>
      <t xml:space="preserve">Status </t>
    </r>
    <r>
      <rPr>
        <sz val="9"/>
        <color rgb="FF000000"/>
        <rFont val="WenQuanYi Zen Hei"/>
        <family val="2"/>
      </rPr>
      <t xml:space="preserve">피드백 일치 여부</t>
    </r>
  </si>
  <si>
    <r>
      <rPr>
        <sz val="10"/>
        <color rgb="FF000000"/>
        <rFont val="WenQuanYi Zen Hei"/>
        <family val="2"/>
      </rPr>
      <t xml:space="preserve">자동밸브 지령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피드백</t>
    </r>
  </si>
  <si>
    <t xml:space="preserve">%</t>
  </si>
  <si>
    <r>
      <rPr>
        <sz val="9"/>
        <color rgb="FF000000"/>
        <rFont val="WenQuanYi Zen Hei"/>
        <family val="2"/>
      </rPr>
      <t xml:space="preserve">예</t>
    </r>
    <r>
      <rPr>
        <sz val="9"/>
        <color rgb="FF000000"/>
        <rFont val="맑은 고딕"/>
        <family val="0"/>
        <charset val="1"/>
      </rPr>
      <t xml:space="preserve">: 0 / 0</t>
    </r>
  </si>
  <si>
    <t xml:space="preserve">신규</t>
  </si>
  <si>
    <r>
      <rPr>
        <sz val="10"/>
        <color rgb="FF000000"/>
        <rFont val="WenQuanYi Zen Hei"/>
        <family val="2"/>
      </rPr>
      <t xml:space="preserve">압력 히스테리시스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복귀 압력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</si>
  <si>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P02</t>
  </si>
  <si>
    <t xml:space="preserve">압력 확인 지연시간</t>
  </si>
  <si>
    <t xml:space="preserve">초</t>
  </si>
  <si>
    <t xml:space="preserve">P03</t>
  </si>
  <si>
    <t xml:space="preserve">밸브 초기개도</t>
  </si>
  <si>
    <r>
      <rPr>
        <sz val="9"/>
        <color rgb="FF000000"/>
        <rFont val="맑은 고딕"/>
        <family val="0"/>
        <charset val="1"/>
      </rPr>
      <t xml:space="preserve">P04 — 5_</t>
    </r>
    <r>
      <rPr>
        <sz val="9"/>
        <color rgb="FF000000"/>
        <rFont val="WenQuanYi Zen Hei"/>
        <family val="2"/>
      </rPr>
      <t xml:space="preserve">초기개도</t>
    </r>
    <r>
      <rPr>
        <sz val="9"/>
        <color rgb="FF000000"/>
        <rFont val="맑은 고딕"/>
        <family val="0"/>
        <charset val="1"/>
      </rPr>
      <t xml:space="preserve">_</t>
    </r>
    <r>
      <rPr>
        <sz val="9"/>
        <color rgb="FF000000"/>
        <rFont val="WenQuanYi Zen Hei"/>
        <family val="2"/>
      </rPr>
      <t xml:space="preserve">매트릭스 결과</t>
    </r>
  </si>
  <si>
    <t xml:space="preserve">밸브 램프율</t>
  </si>
  <si>
    <r>
      <rPr>
        <sz val="10"/>
        <color rgb="FF000000"/>
        <rFont val="맑은 고딕"/>
        <family val="0"/>
        <charset val="1"/>
      </rPr>
      <t xml:space="preserve">%/</t>
    </r>
    <r>
      <rPr>
        <sz val="10"/>
        <color rgb="FF000000"/>
        <rFont val="WenQuanYi Zen Hei"/>
        <family val="2"/>
      </rPr>
      <t xml:space="preserve">분</t>
    </r>
  </si>
  <si>
    <t xml:space="preserve">P05</t>
  </si>
  <si>
    <t xml:space="preserve">전환 중 최대개도 제한</t>
  </si>
  <si>
    <t xml:space="preserve">P06</t>
  </si>
  <si>
    <r>
      <rPr>
        <sz val="10"/>
        <color rgb="FF000000"/>
        <rFont val="WenQuanYi Zen Hei"/>
        <family val="2"/>
      </rPr>
      <t xml:space="preserve">히터 단계 </t>
    </r>
    <r>
      <rPr>
        <sz val="10"/>
        <color rgb="FF000000"/>
        <rFont val="맑은 고딕"/>
        <family val="0"/>
        <charset val="1"/>
      </rPr>
      <t xml:space="preserve">OFF </t>
    </r>
    <r>
      <rPr>
        <sz val="10"/>
        <color rgb="FF000000"/>
        <rFont val="WenQuanYi Zen Hei"/>
        <family val="2"/>
      </rPr>
      <t xml:space="preserve">간격</t>
    </r>
  </si>
  <si>
    <r>
      <rPr>
        <sz val="10"/>
        <color rgb="FF000000"/>
        <rFont val="WenQuanYi Zen Hei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단</t>
    </r>
  </si>
  <si>
    <t xml:space="preserve">P08</t>
  </si>
  <si>
    <t xml:space="preserve">최소 모드 유지시간</t>
  </si>
  <si>
    <t xml:space="preserve">분</t>
  </si>
  <si>
    <t xml:space="preserve">P10</t>
  </si>
  <si>
    <r>
      <rPr>
        <sz val="10"/>
        <color rgb="FF000000"/>
        <rFont val="맑은 고딕"/>
        <family val="0"/>
        <charset val="1"/>
      </rPr>
      <t xml:space="preserve">AHU </t>
    </r>
    <r>
      <rPr>
        <sz val="10"/>
        <color rgb="FF000000"/>
        <rFont val="WenQuanYi Zen Hei"/>
        <family val="2"/>
      </rPr>
      <t xml:space="preserve">순차 전환 간격</t>
    </r>
  </si>
  <si>
    <t xml:space="preserve">P11</t>
  </si>
  <si>
    <t xml:space="preserve">스팀 실패 판정 → 전기 복귀 조건</t>
  </si>
  <si>
    <t xml:space="preserve">P12</t>
  </si>
  <si>
    <t xml:space="preserve">급기온도 상승률 제한</t>
  </si>
  <si>
    <r>
      <rPr>
        <sz val="10"/>
        <color rgb="FF000000"/>
        <rFont val="맑은 고딕"/>
        <family val="0"/>
        <charset val="1"/>
      </rPr>
      <t xml:space="preserve">℃/</t>
    </r>
    <r>
      <rPr>
        <sz val="10"/>
        <color rgb="FF000000"/>
        <rFont val="WenQuanYi Zen Hei"/>
        <family val="2"/>
      </rPr>
      <t xml:space="preserve">분</t>
    </r>
  </si>
  <si>
    <t xml:space="preserve">P14</t>
  </si>
  <si>
    <r>
      <rPr>
        <sz val="9"/>
        <color rgb="FF000000"/>
        <rFont val="맑은 고딕"/>
        <family val="0"/>
        <charset val="1"/>
      </rPr>
      <t xml:space="preserve">※ G301</t>
    </r>
    <r>
      <rPr>
        <sz val="9"/>
        <color rgb="FF000000"/>
        <rFont val="WenQuanYi Zen Hei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Supply Temp-1/-2 </t>
    </r>
    <r>
      <rPr>
        <sz val="9"/>
        <color rgb="FF000000"/>
        <rFont val="WenQuanYi Zen Hei"/>
        <family val="2"/>
      </rPr>
      <t xml:space="preserve">및 히터 </t>
    </r>
    <r>
      <rPr>
        <sz val="9"/>
        <color rgb="FF000000"/>
        <rFont val="맑은 고딕"/>
        <family val="0"/>
        <charset val="1"/>
      </rPr>
      <t xml:space="preserve">#1</t>
    </r>
    <r>
      <rPr>
        <sz val="9"/>
        <color rgb="FF000000"/>
        <rFont val="WenQuanYi Zen Hei"/>
        <family val="2"/>
      </rPr>
      <t xml:space="preserve">그룹</t>
    </r>
    <r>
      <rPr>
        <sz val="9"/>
        <color rgb="FF000000"/>
        <rFont val="맑은 고딕"/>
        <family val="0"/>
        <charset val="1"/>
      </rPr>
      <t xml:space="preserve">(4</t>
    </r>
    <r>
      <rPr>
        <sz val="9"/>
        <color rgb="FF000000"/>
        <rFont val="WenQuanYi Zen Hei"/>
        <family val="2"/>
      </rPr>
      <t xml:space="preserve">단</t>
    </r>
    <r>
      <rPr>
        <sz val="9"/>
        <color rgb="FF000000"/>
        <rFont val="맑은 고딕"/>
        <family val="0"/>
        <charset val="1"/>
      </rPr>
      <t xml:space="preserve">)·#2</t>
    </r>
    <r>
      <rPr>
        <sz val="9"/>
        <color rgb="FF000000"/>
        <rFont val="WenQuanYi Zen Hei"/>
        <family val="2"/>
      </rPr>
      <t xml:space="preserve">그룹</t>
    </r>
    <r>
      <rPr>
        <sz val="9"/>
        <color rgb="FF000000"/>
        <rFont val="맑은 고딕"/>
        <family val="0"/>
        <charset val="1"/>
      </rPr>
      <t xml:space="preserve">(4</t>
    </r>
    <r>
      <rPr>
        <sz val="9"/>
        <color rgb="FF000000"/>
        <rFont val="WenQuanYi Zen Hei"/>
        <family val="2"/>
      </rPr>
      <t xml:space="preserve">단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으로 구성 — 비고란에 그룹별 기록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</si>
  <si>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1-1. </t>
    </r>
    <r>
      <rPr>
        <b val="true"/>
        <sz val="10"/>
        <color rgb="FF000000"/>
        <rFont val="WenQuanYi Zen Hei"/>
        <family val="2"/>
      </rPr>
      <t xml:space="preserve">헤더 압력 시간대별 기록 </t>
    </r>
    <r>
      <rPr>
        <b val="true"/>
        <sz val="10"/>
        <color rgb="FF000000"/>
        <rFont val="맑은 고딕"/>
        <family val="0"/>
        <charset val="1"/>
      </rPr>
      <t xml:space="preserve">(Pressure Setpoint </t>
    </r>
    <r>
      <rPr>
        <b val="true"/>
        <sz val="10"/>
        <color rgb="FF000000"/>
        <rFont val="WenQuanYi Zen Hei"/>
        <family val="2"/>
      </rPr>
      <t xml:space="preserve">결정용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</si>
  <si>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일반제동 </t>
    </r>
    <r>
      <rPr>
        <sz val="9"/>
        <color rgb="FF000000"/>
        <rFont val="맑은 고딕"/>
        <family val="0"/>
        <charset val="1"/>
      </rPr>
      <t xml:space="preserve">SP 10.0 bar</t>
    </r>
    <r>
      <rPr>
        <sz val="9"/>
        <color rgb="FF000000"/>
        <rFont val="WenQuanYi Zen Hei"/>
        <family val="2"/>
      </rPr>
      <t xml:space="preserve">는 미세팅 임시값이며 헤더 최고 압력이 약 </t>
    </r>
    <r>
      <rPr>
        <sz val="9"/>
        <color rgb="FF000000"/>
        <rFont val="맑은 고딕"/>
        <family val="0"/>
        <charset val="1"/>
      </rPr>
      <t xml:space="preserve">8 bar</t>
    </r>
    <r>
      <rPr>
        <sz val="9"/>
        <color rgb="FF000000"/>
        <rFont val="WenQuanYi Zen Hei"/>
        <family val="2"/>
      </rPr>
      <t xml:space="preserve">이므로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아래 기록으로 주간에 안정적으로 유지되는 압력을 확인해 </t>
    </r>
    <r>
      <rPr>
        <sz val="9"/>
        <color rgb="FF000000"/>
        <rFont val="맑은 고딕"/>
        <family val="0"/>
        <charset val="1"/>
      </rPr>
      <t xml:space="preserve">SP</t>
    </r>
    <r>
      <rPr>
        <sz val="9"/>
        <color rgb="FF000000"/>
        <rFont val="WenQuanYi Zen Hei"/>
        <family val="2"/>
      </rPr>
      <t xml:space="preserve">를 정합니다</t>
    </r>
    <r>
      <rPr>
        <sz val="9"/>
        <color rgb="FF000000"/>
        <rFont val="맑은 고딕"/>
        <family val="0"/>
        <charset val="1"/>
      </rPr>
      <t xml:space="preserve">.</t>
    </r>
  </si>
  <si>
    <t xml:space="preserve">시각</t>
  </si>
  <si>
    <r>
      <rPr>
        <b val="true"/>
        <sz val="9"/>
        <color rgb="FFFFFFFF"/>
        <rFont val="WenQuanYi Zen Hei"/>
        <family val="2"/>
      </rPr>
      <t xml:space="preserve">일반 </t>
    </r>
    <r>
      <rPr>
        <b val="true"/>
        <sz val="9"/>
        <color rgb="FFFFFFFF"/>
        <rFont val="맑은 고딕"/>
        <family val="0"/>
        <charset val="1"/>
      </rPr>
      <t xml:space="preserve">PRE-1
(bar)</t>
    </r>
  </si>
  <si>
    <r>
      <rPr>
        <b val="true"/>
        <sz val="9"/>
        <color rgb="FFFFFFFF"/>
        <rFont val="WenQuanYi Zen Hei"/>
        <family val="2"/>
      </rPr>
      <t xml:space="preserve">일반 </t>
    </r>
    <r>
      <rPr>
        <b val="true"/>
        <sz val="9"/>
        <color rgb="FFFFFFFF"/>
        <rFont val="맑은 고딕"/>
        <family val="0"/>
        <charset val="1"/>
      </rPr>
      <t xml:space="preserve">PRE-2
(bar)</t>
    </r>
  </si>
  <si>
    <r>
      <rPr>
        <b val="true"/>
        <sz val="9"/>
        <color rgb="FFFFFFFF"/>
        <rFont val="WenQuanYi Zen Hei"/>
        <family val="2"/>
      </rPr>
      <t xml:space="preserve">세파 헤더
</t>
    </r>
    <r>
      <rPr>
        <b val="true"/>
        <sz val="9"/>
        <color rgb="FFFFFFFF"/>
        <rFont val="맑은 고딕"/>
        <family val="0"/>
        <charset val="1"/>
      </rPr>
      <t xml:space="preserve">(bar)</t>
    </r>
  </si>
  <si>
    <r>
      <rPr>
        <b val="true"/>
        <sz val="9"/>
        <color rgb="FFFFFFFF"/>
        <rFont val="WenQuanYi Zen Hei"/>
        <family val="2"/>
      </rPr>
      <t xml:space="preserve">세파 헤더온도
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</si>
  <si>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t xml:space="preserve">보일러 운전
대수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</si>
  <si>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</si>
  <si>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</si>
  <si>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</si>
  <si>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</si>
  <si>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</si>
  <si>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</si>
  <si>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</si>
  <si>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</si>
  <si>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</si>
  <si>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</si>
  <si>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</si>
  <si>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</si>
  <si>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</si>
  <si>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</si>
  <si>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</si>
  <si>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</si>
  <si>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</si>
  <si>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최고</t>
  </si>
  <si>
    <t xml:space="preserve">최저</t>
  </si>
  <si>
    <t xml:space="preserve">평균</t>
  </si>
  <si>
    <r>
      <rPr>
        <b val="true"/>
        <sz val="10"/>
        <color rgb="FF000000"/>
        <rFont val="WenQuanYi Zen Hei"/>
        <family val="2"/>
      </rPr>
      <t xml:space="preserve">결정 </t>
    </r>
    <r>
      <rPr>
        <b val="true"/>
        <sz val="10"/>
        <color rgb="FF000000"/>
        <rFont val="맑은 고딕"/>
        <family val="0"/>
        <charset val="1"/>
      </rPr>
      <t xml:space="preserve">SP</t>
    </r>
  </si>
  <si>
    <r>
      <rPr>
        <sz val="9"/>
        <color rgb="FF000000"/>
        <rFont val="WenQuanYi Zen Hei"/>
        <family val="2"/>
      </rPr>
      <t xml:space="preserve">← 일반제동</t>
    </r>
    <r>
      <rPr>
        <sz val="9"/>
        <color rgb="FF000000"/>
        <rFont val="맑은 고딕"/>
        <family val="0"/>
        <charset val="1"/>
      </rPr>
      <t xml:space="preserve">(C</t>
    </r>
    <r>
      <rPr>
        <sz val="9"/>
        <color rgb="FF000000"/>
        <rFont val="WenQuanYi Zen Hei"/>
        <family val="2"/>
      </rPr>
      <t xml:space="preserve">열</t>
    </r>
    <r>
      <rPr>
        <sz val="9"/>
        <color rgb="FF000000"/>
        <rFont val="맑은 고딕"/>
        <family val="0"/>
        <charset val="1"/>
      </rPr>
      <t xml:space="preserve">)·</t>
    </r>
    <r>
      <rPr>
        <sz val="9"/>
        <color rgb="FF000000"/>
        <rFont val="WenQuanYi Zen Hei"/>
        <family val="2"/>
      </rPr>
      <t xml:space="preserve">세파제동</t>
    </r>
    <r>
      <rPr>
        <sz val="9"/>
        <color rgb="FF000000"/>
        <rFont val="맑은 고딕"/>
        <family val="0"/>
        <charset val="1"/>
      </rPr>
      <t xml:space="preserve">(E</t>
    </r>
    <r>
      <rPr>
        <sz val="9"/>
        <color rgb="FF000000"/>
        <rFont val="WenQuanYi Zen Hei"/>
        <family val="2"/>
      </rPr>
      <t xml:space="preserve">열</t>
    </r>
    <r>
      <rPr>
        <sz val="9"/>
        <color rgb="FF000000"/>
        <rFont val="맑은 고딕"/>
        <family val="0"/>
        <charset val="1"/>
      </rPr>
      <t xml:space="preserve">). </t>
    </r>
    <r>
      <rPr>
        <sz val="9"/>
        <color rgb="FF000000"/>
        <rFont val="WenQuanYi Zen Hei"/>
        <family val="2"/>
      </rPr>
      <t xml:space="preserve">주간 최저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평균 압력 사이에서 결정 후 위 </t>
    </r>
    <r>
      <rPr>
        <sz val="9"/>
        <color rgb="FF000000"/>
        <rFont val="맑은 고딕"/>
        <family val="0"/>
        <charset val="1"/>
      </rPr>
      <t xml:space="preserve">As-left</t>
    </r>
    <r>
      <rPr>
        <sz val="9"/>
        <color rgb="FF000000"/>
        <rFont val="WenQuanYi Zen Hei"/>
        <family val="2"/>
      </rPr>
      <t xml:space="preserve">에 반영</t>
    </r>
  </si>
  <si>
    <r>
      <rPr>
        <b val="true"/>
        <sz val="14"/>
        <color rgb="FF000000"/>
        <rFont val="맑은 고딕"/>
        <family val="0"/>
        <charset val="1"/>
      </rPr>
      <t xml:space="preserve">2. </t>
    </r>
    <r>
      <rPr>
        <b val="true"/>
        <sz val="14"/>
        <color rgb="FF000000"/>
        <rFont val="WenQuanYi Zen Hei"/>
        <family val="2"/>
      </rPr>
      <t xml:space="preserve">스팀 밸브 상태 점검 — </t>
    </r>
    <r>
      <rPr>
        <b val="true"/>
        <sz val="14"/>
        <color rgb="FF000000"/>
        <rFont val="맑은 고딕"/>
        <family val="0"/>
        <charset val="1"/>
      </rPr>
      <t xml:space="preserve">[V1 </t>
    </r>
    <r>
      <rPr>
        <b val="true"/>
        <sz val="14"/>
        <color rgb="FF000000"/>
        <rFont val="WenQuanYi Zen Hei"/>
        <family val="2"/>
      </rPr>
      <t xml:space="preserve">게이트 – </t>
    </r>
    <r>
      <rPr>
        <b val="true"/>
        <sz val="14"/>
        <color rgb="FF000000"/>
        <rFont val="맑은 고딕"/>
        <family val="0"/>
        <charset val="1"/>
      </rPr>
      <t xml:space="preserve">MV </t>
    </r>
    <r>
      <rPr>
        <b val="true"/>
        <sz val="14"/>
        <color rgb="FF000000"/>
        <rFont val="WenQuanYi Zen Hei"/>
        <family val="2"/>
      </rPr>
      <t xml:space="preserve">자동밸브</t>
    </r>
    <r>
      <rPr>
        <b val="true"/>
        <sz val="14"/>
        <color rgb="FF000000"/>
        <rFont val="맑은 고딕"/>
        <family val="0"/>
        <charset val="1"/>
      </rPr>
      <t xml:space="preserve">(Metasys) – V2 </t>
    </r>
    <r>
      <rPr>
        <b val="true"/>
        <sz val="14"/>
        <color rgb="FF000000"/>
        <rFont val="WenQuanYi Zen Hei"/>
        <family val="2"/>
      </rPr>
      <t xml:space="preserve">게이트</t>
    </r>
    <r>
      <rPr>
        <b val="true"/>
        <sz val="14"/>
        <color rgb="FF000000"/>
        <rFont val="맑은 고딕"/>
        <family val="0"/>
        <charset val="1"/>
      </rPr>
      <t xml:space="preserve">] + BV </t>
    </r>
    <r>
      <rPr>
        <b val="true"/>
        <sz val="14"/>
        <color rgb="FF000000"/>
        <rFont val="WenQuanYi Zen Hei"/>
        <family val="2"/>
      </rPr>
      <t xml:space="preserve">바이패스</t>
    </r>
  </si>
  <si>
    <r>
      <rPr>
        <sz val="9"/>
        <color rgb="FF595959"/>
        <rFont val="WenQuanYi Zen Hei"/>
        <family val="2"/>
      </rPr>
      <t xml:space="preserve">정상 구성</t>
    </r>
    <r>
      <rPr>
        <sz val="9"/>
        <color rgb="FF595959"/>
        <rFont val="맑은 고딕"/>
        <family val="0"/>
        <charset val="1"/>
      </rPr>
      <t xml:space="preserve">: V1 </t>
    </r>
    <r>
      <rPr>
        <sz val="9"/>
        <color rgb="FF595959"/>
        <rFont val="WenQuanYi Zen Hei"/>
        <family val="2"/>
      </rPr>
      <t xml:space="preserve">열림 </t>
    </r>
    <r>
      <rPr>
        <sz val="9"/>
        <color rgb="FF595959"/>
        <rFont val="맑은 고딕"/>
        <family val="0"/>
        <charset val="1"/>
      </rPr>
      <t xml:space="preserve">· V2 </t>
    </r>
    <r>
      <rPr>
        <sz val="9"/>
        <color rgb="FF595959"/>
        <rFont val="WenQuanYi Zen Hei"/>
        <family val="2"/>
      </rPr>
      <t xml:space="preserve">열림 </t>
    </r>
    <r>
      <rPr>
        <sz val="9"/>
        <color rgb="FF595959"/>
        <rFont val="맑은 고딕"/>
        <family val="0"/>
        <charset val="1"/>
      </rPr>
      <t xml:space="preserve">· BV </t>
    </r>
    <r>
      <rPr>
        <sz val="9"/>
        <color rgb="FF595959"/>
        <rFont val="WenQuanYi Zen Hei"/>
        <family val="2"/>
      </rPr>
      <t xml:space="preserve">닫힘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전기모드에서 </t>
    </r>
    <r>
      <rPr>
        <sz val="9"/>
        <color rgb="FF595959"/>
        <rFont val="맑은 고딕"/>
        <family val="0"/>
        <charset val="1"/>
      </rPr>
      <t xml:space="preserve">MV </t>
    </r>
    <r>
      <rPr>
        <sz val="9"/>
        <color rgb="FF595959"/>
        <rFont val="WenQuanYi Zen Hei"/>
        <family val="2"/>
      </rPr>
      <t xml:space="preserve">피드백은 닫힘</t>
    </r>
    <r>
      <rPr>
        <sz val="9"/>
        <color rgb="FF595959"/>
        <rFont val="맑은 고딕"/>
        <family val="0"/>
        <charset val="1"/>
      </rPr>
      <t xml:space="preserve">(≤ </t>
    </r>
    <r>
      <rPr>
        <sz val="9"/>
        <color rgb="FF595959"/>
        <rFont val="WenQuanYi Zen Hei"/>
        <family val="2"/>
      </rPr>
      <t xml:space="preserve">허용값</t>
    </r>
    <r>
      <rPr>
        <sz val="9"/>
        <color rgb="FF595959"/>
        <rFont val="맑은 고딕"/>
        <family val="0"/>
        <charset val="1"/>
      </rPr>
      <t xml:space="preserve">), </t>
    </r>
    <r>
      <rPr>
        <sz val="9"/>
        <color rgb="FF595959"/>
        <rFont val="WenQuanYi Zen Hei"/>
        <family val="2"/>
      </rPr>
      <t xml:space="preserve">스팀모드에서 지령</t>
    </r>
    <r>
      <rPr>
        <sz val="9"/>
        <color rgb="FF595959"/>
        <rFont val="맑은 고딕"/>
        <family val="0"/>
        <charset val="1"/>
      </rPr>
      <t xml:space="preserve">-</t>
    </r>
    <r>
      <rPr>
        <sz val="9"/>
        <color rgb="FF595959"/>
        <rFont val="WenQuanYi Zen Hei"/>
        <family val="2"/>
      </rPr>
      <t xml:space="preserve">피드백 편차 ≤ 허용값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코일 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후 온도는 전기모드에서 스팀 누설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밸브 패싱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확인용</t>
    </r>
    <r>
      <rPr>
        <sz val="9"/>
        <color rgb="FF595959"/>
        <rFont val="맑은 고딕"/>
        <family val="0"/>
        <charset val="1"/>
      </rPr>
      <t xml:space="preserve">.</t>
    </r>
  </si>
  <si>
    <t xml:space="preserve">판정 기준</t>
  </si>
  <si>
    <r>
      <rPr>
        <sz val="9"/>
        <color rgb="FF000000"/>
        <rFont val="WenQuanYi Zen Hei"/>
        <family val="2"/>
      </rPr>
      <t xml:space="preserve">닫힘 허용</t>
    </r>
    <r>
      <rPr>
        <sz val="9"/>
        <color rgb="FF000000"/>
        <rFont val="맑은 고딕"/>
        <family val="0"/>
        <charset val="1"/>
      </rPr>
      <t xml:space="preserve">(%)</t>
    </r>
  </si>
  <si>
    <r>
      <rPr>
        <sz val="9"/>
        <color rgb="FF000000"/>
        <rFont val="WenQuanYi Zen Hei"/>
        <family val="2"/>
      </rPr>
      <t xml:space="preserve">편차 허용</t>
    </r>
    <r>
      <rPr>
        <sz val="9"/>
        <color rgb="FF000000"/>
        <rFont val="맑은 고딕"/>
        <family val="0"/>
        <charset val="1"/>
      </rPr>
      <t xml:space="preserve">(%)</t>
    </r>
  </si>
  <si>
    <r>
      <rPr>
        <sz val="9"/>
        <color rgb="FF000000"/>
        <rFont val="WenQuanYi Zen Hei"/>
        <family val="2"/>
      </rPr>
      <t xml:space="preserve">← 기준값 가정치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현장 협의 후 수정</t>
    </r>
  </si>
  <si>
    <t xml:space="preserve">점검 모드</t>
  </si>
  <si>
    <t xml:space="preserve">점검 시각</t>
  </si>
  <si>
    <r>
      <rPr>
        <b val="true"/>
        <sz val="9"/>
        <color rgb="FFFFFFFF"/>
        <rFont val="맑은 고딕"/>
        <family val="0"/>
        <charset val="1"/>
      </rPr>
      <t xml:space="preserve">V1 </t>
    </r>
    <r>
      <rPr>
        <b val="true"/>
        <sz val="9"/>
        <color rgb="FFFFFFFF"/>
        <rFont val="WenQuanYi Zen Hei"/>
        <family val="2"/>
      </rPr>
      <t xml:space="preserve">상류
게이트밸브</t>
    </r>
  </si>
  <si>
    <r>
      <rPr>
        <b val="true"/>
        <sz val="9"/>
        <color rgb="FFFFFFFF"/>
        <rFont val="맑은 고딕"/>
        <family val="0"/>
        <charset val="1"/>
      </rPr>
      <t xml:space="preserve">MV </t>
    </r>
    <r>
      <rPr>
        <b val="true"/>
        <sz val="9"/>
        <color rgb="FFFFFFFF"/>
        <rFont val="WenQuanYi Zen Hei"/>
        <family val="2"/>
      </rPr>
      <t xml:space="preserve">자동밸브
지령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</si>
  <si>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맑은 고딕"/>
        <family val="0"/>
        <charset val="1"/>
      </rPr>
      <t xml:space="preserve">MV
</t>
    </r>
    <r>
      <rPr>
        <b val="true"/>
        <sz val="9"/>
        <color rgb="FFFFFFFF"/>
        <rFont val="WenQuanYi Zen Hei"/>
        <family val="2"/>
      </rPr>
      <t xml:space="preserve">피드백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</si>
  <si>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맑은 고딕"/>
        <family val="0"/>
        <charset val="1"/>
      </rPr>
      <t xml:space="preserve">MV </t>
    </r>
    <r>
      <rPr>
        <b val="true"/>
        <sz val="9"/>
        <color rgb="FFFFFFFF"/>
        <rFont val="WenQuanYi Zen Hei"/>
        <family val="2"/>
      </rPr>
      <t xml:space="preserve">현장
지시눈금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</si>
  <si>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맑은 고딕"/>
        <family val="0"/>
        <charset val="1"/>
      </rPr>
      <t xml:space="preserve">V2 </t>
    </r>
    <r>
      <rPr>
        <b val="true"/>
        <sz val="9"/>
        <color rgb="FFFFFFFF"/>
        <rFont val="WenQuanYi Zen Hei"/>
        <family val="2"/>
      </rPr>
      <t xml:space="preserve">하류
게이트밸브</t>
    </r>
  </si>
  <si>
    <r>
      <rPr>
        <b val="true"/>
        <sz val="9"/>
        <color rgb="FFFFFFFF"/>
        <rFont val="맑은 고딕"/>
        <family val="0"/>
        <charset val="1"/>
      </rPr>
      <t xml:space="preserve">BV </t>
    </r>
    <r>
      <rPr>
        <b val="true"/>
        <sz val="9"/>
        <color rgb="FFFFFFFF"/>
        <rFont val="WenQuanYi Zen Hei"/>
        <family val="2"/>
      </rPr>
      <t xml:space="preserve">바이패스
게이트밸브</t>
    </r>
  </si>
  <si>
    <r>
      <rPr>
        <b val="true"/>
        <sz val="9"/>
        <color rgb="FFFFFFFF"/>
        <rFont val="WenQuanYi Zen Hei"/>
        <family val="2"/>
      </rPr>
      <t xml:space="preserve">액추에이터
수동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자동</t>
    </r>
  </si>
  <si>
    <t xml:space="preserve">스팀트랩
상태</t>
  </si>
  <si>
    <t xml:space="preserve">스트레이너</t>
  </si>
  <si>
    <r>
      <rPr>
        <b val="true"/>
        <sz val="9"/>
        <color rgb="FFFFFFFF"/>
        <rFont val="WenQuanYi Zen Hei"/>
        <family val="2"/>
      </rPr>
      <t xml:space="preserve">코일 전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WenQuanYi Zen Hei"/>
        <family val="2"/>
      </rPr>
      <t xml:space="preserve">후
온도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</si>
  <si>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t xml:space="preserve">구성 판정</t>
  </si>
  <si>
    <t xml:space="preserve">개도 판정</t>
  </si>
  <si>
    <t xml:space="preserve">전기모드</t>
  </si>
  <si>
    <t xml:space="preserve">열림</t>
  </si>
  <si>
    <t xml:space="preserve">닫힘</t>
  </si>
  <si>
    <t xml:space="preserve">자동</t>
  </si>
  <si>
    <t xml:space="preserve">정상</t>
  </si>
  <si>
    <t xml:space="preserve">15.2 / 15.4</t>
  </si>
  <si>
    <t xml:space="preserve">예시</t>
  </si>
  <si>
    <t xml:space="preserve">스팀모드</t>
  </si>
  <si>
    <r>
      <rPr>
        <b val="true"/>
        <sz val="10"/>
        <color rgb="FF000000"/>
        <rFont val="맑은 고딕"/>
        <family val="0"/>
        <charset val="1"/>
      </rPr>
      <t xml:space="preserve">2-1. </t>
    </r>
    <r>
      <rPr>
        <b val="true"/>
        <sz val="10"/>
        <color rgb="FF000000"/>
        <rFont val="WenQuanYi Zen Hei"/>
        <family val="2"/>
      </rPr>
      <t xml:space="preserve">자동밸브</t>
    </r>
    <r>
      <rPr>
        <b val="true"/>
        <sz val="10"/>
        <color rgb="FF000000"/>
        <rFont val="맑은 고딕"/>
        <family val="0"/>
        <charset val="1"/>
      </rPr>
      <t xml:space="preserve">(MV) </t>
    </r>
    <r>
      <rPr>
        <b val="true"/>
        <sz val="10"/>
        <color rgb="FF000000"/>
        <rFont val="WenQuanYi Zen Hei"/>
        <family val="2"/>
      </rPr>
      <t xml:space="preserve">사양 및 스트로크 실측</t>
    </r>
  </si>
  <si>
    <r>
      <rPr>
        <b val="true"/>
        <sz val="9"/>
        <color rgb="FFFFFFFF"/>
        <rFont val="WenQuanYi Zen Hei"/>
        <family val="2"/>
      </rPr>
      <t xml:space="preserve">밸브 </t>
    </r>
    <r>
      <rPr>
        <b val="true"/>
        <sz val="9"/>
        <color rgb="FFFFFFFF"/>
        <rFont val="맑은 고딕"/>
        <family val="0"/>
        <charset val="1"/>
      </rPr>
      <t xml:space="preserve">TAG</t>
    </r>
  </si>
  <si>
    <r>
      <rPr>
        <b val="true"/>
        <sz val="9"/>
        <color rgb="FFFFFFFF"/>
        <rFont val="WenQuanYi Zen Hei"/>
        <family val="2"/>
      </rPr>
      <t xml:space="preserve">구경</t>
    </r>
    <r>
      <rPr>
        <b val="true"/>
        <sz val="9"/>
        <color rgb="FFFFFFFF"/>
        <rFont val="맑은 고딕"/>
        <family val="0"/>
        <charset val="1"/>
      </rPr>
      <t xml:space="preserve">(A)</t>
    </r>
  </si>
  <si>
    <t xml:space="preserve">액추에이터
모델</t>
  </si>
  <si>
    <r>
      <rPr>
        <b val="true"/>
        <sz val="9"/>
        <color rgb="FFFFFFFF"/>
        <rFont val="WenQuanYi Zen Hei"/>
        <family val="2"/>
      </rPr>
      <t xml:space="preserve">제어신호
</t>
    </r>
    <r>
      <rPr>
        <b val="true"/>
        <sz val="9"/>
        <color rgb="FFFFFFFF"/>
        <rFont val="맑은 고딕"/>
        <family val="0"/>
        <charset val="1"/>
      </rPr>
      <t xml:space="preserve">(0-10V/4-20mA)</t>
    </r>
  </si>
  <si>
    <r>
      <rPr>
        <b val="true"/>
        <sz val="9"/>
        <color rgb="FFFFFFFF"/>
        <rFont val="맑은 고딕"/>
        <family val="0"/>
        <charset val="1"/>
      </rPr>
      <t xml:space="preserve">Fail </t>
    </r>
    <r>
      <rPr>
        <b val="true"/>
        <sz val="9"/>
        <color rgb="FFFFFFFF"/>
        <rFont val="WenQuanYi Zen Hei"/>
        <family val="2"/>
      </rPr>
      <t xml:space="preserve">위치
</t>
    </r>
    <r>
      <rPr>
        <b val="true"/>
        <sz val="9"/>
        <color rgb="FFFFFFFF"/>
        <rFont val="맑은 고딕"/>
        <family val="0"/>
        <charset val="1"/>
      </rPr>
      <t xml:space="preserve">(NC/NO/Last)</t>
    </r>
  </si>
  <si>
    <r>
      <rPr>
        <b val="true"/>
        <sz val="9"/>
        <color rgb="FFFFFFFF"/>
        <rFont val="WenQuanYi Zen Hei"/>
        <family val="2"/>
      </rPr>
      <t xml:space="preserve">사양 스트로크
시간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</si>
  <si>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실측 </t>
    </r>
    <r>
      <rPr>
        <b val="true"/>
        <sz val="9"/>
        <color rgb="FFFFFFFF"/>
        <rFont val="맑은 고딕"/>
        <family val="0"/>
        <charset val="1"/>
      </rPr>
      <t xml:space="preserve">0→100%
(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</si>
  <si>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실측 </t>
    </r>
    <r>
      <rPr>
        <b val="true"/>
        <sz val="9"/>
        <color rgb="FFFFFFFF"/>
        <rFont val="맑은 고딕"/>
        <family val="0"/>
        <charset val="1"/>
      </rPr>
      <t xml:space="preserve">100→0%
(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</si>
  <si>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최소 제어
개도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</si>
  <si>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맑은 고딕"/>
        <family val="0"/>
        <charset val="1"/>
      </rPr>
      <t xml:space="preserve">V1·V2 </t>
    </r>
    <r>
      <rPr>
        <b val="true"/>
        <sz val="9"/>
        <color rgb="FFFFFFFF"/>
        <rFont val="WenQuanYi Zen Hei"/>
        <family val="2"/>
      </rPr>
      <t xml:space="preserve">게이트
구경</t>
    </r>
    <r>
      <rPr>
        <b val="true"/>
        <sz val="9"/>
        <color rgb="FFFFFFFF"/>
        <rFont val="맑은 고딕"/>
        <family val="0"/>
        <charset val="1"/>
      </rPr>
      <t xml:space="preserve">(A)</t>
    </r>
  </si>
  <si>
    <r>
      <rPr>
        <b val="true"/>
        <sz val="9"/>
        <color rgb="FFFFFFFF"/>
        <rFont val="맑은 고딕"/>
        <family val="0"/>
        <charset val="1"/>
      </rPr>
      <t xml:space="preserve">BV </t>
    </r>
    <r>
      <rPr>
        <b val="true"/>
        <sz val="9"/>
        <color rgb="FFFFFFFF"/>
        <rFont val="WenQuanYi Zen Hei"/>
        <family val="2"/>
      </rPr>
      <t xml:space="preserve">바이패스
구경</t>
    </r>
    <r>
      <rPr>
        <b val="true"/>
        <sz val="9"/>
        <color rgb="FFFFFFFF"/>
        <rFont val="맑은 고딕"/>
        <family val="0"/>
        <charset val="1"/>
      </rPr>
      <t xml:space="preserve">(A)</t>
    </r>
  </si>
  <si>
    <r>
      <rPr>
        <b val="true"/>
        <sz val="9"/>
        <color rgb="FFFFFFFF"/>
        <rFont val="WenQuanYi Zen Hei"/>
        <family val="2"/>
      </rPr>
      <t xml:space="preserve">스트로크
편차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</si>
  <si>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t xml:space="preserve">판정</t>
  </si>
  <si>
    <r>
      <rPr>
        <sz val="9"/>
        <color rgb="FF000000"/>
        <rFont val="WenQuanYi Zen Hei"/>
        <family val="2"/>
      </rPr>
      <t xml:space="preserve">※ 스트로크 편차 </t>
    </r>
    <r>
      <rPr>
        <sz val="9"/>
        <color rgb="FF000000"/>
        <rFont val="맑은 고딕"/>
        <family val="0"/>
        <charset val="1"/>
      </rPr>
      <t xml:space="preserve">±20% </t>
    </r>
    <r>
      <rPr>
        <sz val="9"/>
        <color rgb="FF000000"/>
        <rFont val="WenQuanYi Zen Hei"/>
        <family val="2"/>
      </rPr>
      <t xml:space="preserve">초과 시 액추에이터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링키지 점검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기준은 가정치</t>
    </r>
    <r>
      <rPr>
        <sz val="9"/>
        <color rgb="FF000000"/>
        <rFont val="맑은 고딕"/>
        <family val="0"/>
        <charset val="1"/>
      </rPr>
      <t xml:space="preserve">). Fail </t>
    </r>
    <r>
      <rPr>
        <sz val="9"/>
        <color rgb="FF000000"/>
        <rFont val="WenQuanYi Zen Hei"/>
        <family val="2"/>
      </rPr>
      <t xml:space="preserve">위치는 정전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통신장애 시 보관소 안전과 직결 — </t>
    </r>
    <r>
      <rPr>
        <sz val="9"/>
        <color rgb="FF000000"/>
        <rFont val="맑은 고딕"/>
        <family val="0"/>
        <charset val="1"/>
      </rPr>
      <t xml:space="preserve">NC(</t>
    </r>
    <r>
      <rPr>
        <sz val="9"/>
        <color rgb="FF000000"/>
        <rFont val="WenQuanYi Zen Hei"/>
        <family val="2"/>
      </rPr>
      <t xml:space="preserve">정상닫힘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권장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</si>
  <si>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b val="true"/>
        <sz val="14"/>
        <color rgb="FF000000"/>
        <rFont val="맑은 고딕"/>
        <family val="0"/>
        <charset val="1"/>
      </rPr>
      <t xml:space="preserve">3. </t>
    </r>
    <r>
      <rPr>
        <b val="true"/>
        <sz val="14"/>
        <color rgb="FF000000"/>
        <rFont val="WenQuanYi Zen Hei"/>
        <family val="2"/>
      </rPr>
      <t xml:space="preserve">모드 전환 시간 실측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시각은 </t>
    </r>
    <r>
      <rPr>
        <b val="true"/>
        <sz val="14"/>
        <color rgb="FF000000"/>
        <rFont val="맑은 고딕"/>
        <family val="0"/>
        <charset val="1"/>
      </rPr>
      <t xml:space="preserve">hh:mm:ss </t>
    </r>
    <r>
      <rPr>
        <b val="true"/>
        <sz val="14"/>
        <color rgb="FF000000"/>
        <rFont val="WenQuanYi Zen Hei"/>
        <family val="2"/>
      </rPr>
      <t xml:space="preserve">로 입력</t>
    </r>
    <r>
      <rPr>
        <b val="true"/>
        <sz val="14"/>
        <color rgb="FF000000"/>
        <rFont val="맑은 고딕"/>
        <family val="0"/>
        <charset val="1"/>
      </rPr>
      <t xml:space="preserve">, </t>
    </r>
    <r>
      <rPr>
        <b val="true"/>
        <sz val="14"/>
        <color rgb="FF000000"/>
        <rFont val="WenQuanYi Zen Hei"/>
        <family val="2"/>
      </rPr>
      <t xml:space="preserve">예</t>
    </r>
    <r>
      <rPr>
        <b val="true"/>
        <sz val="14"/>
        <color rgb="FF000000"/>
        <rFont val="맑은 고딕"/>
        <family val="0"/>
        <charset val="1"/>
      </rPr>
      <t xml:space="preserve">: 14:05:30)</t>
    </r>
  </si>
  <si>
    <r>
      <rPr>
        <sz val="9"/>
        <color rgb="FF595959"/>
        <rFont val="맑은 고딕"/>
        <family val="0"/>
        <charset val="1"/>
      </rPr>
      <t xml:space="preserve">Metasys </t>
    </r>
    <r>
      <rPr>
        <sz val="9"/>
        <color rgb="FF595959"/>
        <rFont val="WenQuanYi Zen Hei"/>
        <family val="2"/>
      </rPr>
      <t xml:space="preserve">트렌드</t>
    </r>
    <r>
      <rPr>
        <sz val="9"/>
        <color rgb="FF595959"/>
        <rFont val="맑은 고딕"/>
        <family val="0"/>
        <charset val="1"/>
      </rPr>
      <t xml:space="preserve">(1~5</t>
    </r>
    <r>
      <rPr>
        <sz val="9"/>
        <color rgb="FF595959"/>
        <rFont val="WenQuanYi Zen Hei"/>
        <family val="2"/>
      </rPr>
      <t xml:space="preserve">초 간격 권장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또는 스톱워치로 각 이벤트 시각을 기록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지연시간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초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은 자동 계산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열공백</t>
    </r>
    <r>
      <rPr>
        <sz val="9"/>
        <color rgb="FF595959"/>
        <rFont val="맑은 고딕"/>
        <family val="0"/>
        <charset val="1"/>
      </rPr>
      <t xml:space="preserve">(+) = </t>
    </r>
    <r>
      <rPr>
        <sz val="9"/>
        <color rgb="FF595959"/>
        <rFont val="WenQuanYi Zen Hei"/>
        <family val="2"/>
      </rPr>
      <t xml:space="preserve">히터 </t>
    </r>
    <r>
      <rPr>
        <sz val="9"/>
        <color rgb="FF595959"/>
        <rFont val="맑은 고딕"/>
        <family val="0"/>
        <charset val="1"/>
      </rPr>
      <t xml:space="preserve">OFF </t>
    </r>
    <r>
      <rPr>
        <sz val="9"/>
        <color rgb="FF595959"/>
        <rFont val="WenQuanYi Zen Hei"/>
        <family val="2"/>
      </rPr>
      <t xml:space="preserve">후 스팀 열이 도달하기 전까지 열 공급이 없는 시간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중첩</t>
    </r>
    <r>
      <rPr>
        <sz val="9"/>
        <color rgb="FF595959"/>
        <rFont val="맑은 고딕"/>
        <family val="0"/>
        <charset val="1"/>
      </rPr>
      <t xml:space="preserve">(−) = </t>
    </r>
    <r>
      <rPr>
        <sz val="9"/>
        <color rgb="FF595959"/>
        <rFont val="WenQuanYi Zen Hei"/>
        <family val="2"/>
      </rPr>
      <t xml:space="preserve">둘 다 가열 중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</si>
  <si>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9"/>
        <color rgb="FF000000"/>
        <rFont val="맑은 고딕"/>
        <family val="0"/>
        <charset val="1"/>
      </rPr>
      <t xml:space="preserve">Time Delay </t>
    </r>
    <r>
      <rPr>
        <b val="true"/>
        <sz val="9"/>
        <color rgb="FF000000"/>
        <rFont val="WenQuanYi Zen Hei"/>
        <family val="2"/>
      </rPr>
      <t xml:space="preserve">여유</t>
    </r>
  </si>
  <si>
    <r>
      <rPr>
        <sz val="9"/>
        <color rgb="FF000000"/>
        <rFont val="WenQuanYi Zen Hei"/>
        <family val="2"/>
      </rPr>
      <t xml:space="preserve">← 권장 </t>
    </r>
    <r>
      <rPr>
        <sz val="9"/>
        <color rgb="FF000000"/>
        <rFont val="맑은 고딕"/>
        <family val="0"/>
        <charset val="1"/>
      </rPr>
      <t xml:space="preserve">Time Delay = (</t>
    </r>
    <r>
      <rPr>
        <sz val="9"/>
        <color rgb="FF000000"/>
        <rFont val="WenQuanYi Zen Hei"/>
        <family val="2"/>
      </rPr>
      <t xml:space="preserve">스팀 열도달 시각 − 전환신호 시각</t>
    </r>
    <r>
      <rPr>
        <sz val="9"/>
        <color rgb="FF000000"/>
        <rFont val="맑은 고딕"/>
        <family val="0"/>
        <charset val="1"/>
      </rPr>
      <t xml:space="preserve">) + </t>
    </r>
    <r>
      <rPr>
        <sz val="9"/>
        <color rgb="FF000000"/>
        <rFont val="WenQuanYi Zen Hei"/>
        <family val="2"/>
      </rPr>
      <t xml:space="preserve">여유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여유값은 가정치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</si>
  <si>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전기 → 스팀 전환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헤더압력 ≥ </t>
    </r>
    <r>
      <rPr>
        <b val="true"/>
        <sz val="10"/>
        <color rgb="FF000000"/>
        <rFont val="맑은 고딕"/>
        <family val="0"/>
        <charset val="1"/>
      </rPr>
      <t xml:space="preserve">SP)</t>
    </r>
  </si>
  <si>
    <r>
      <rPr>
        <b val="true"/>
        <sz val="9"/>
        <color rgb="FFFFFFFF"/>
        <rFont val="WenQuanYi Zen Hei"/>
        <family val="2"/>
      </rPr>
      <t xml:space="preserve">시험
</t>
    </r>
    <r>
      <rPr>
        <b val="true"/>
        <sz val="9"/>
        <color rgb="FFFFFFFF"/>
        <rFont val="맑은 고딕"/>
        <family val="0"/>
        <charset val="1"/>
      </rPr>
      <t xml:space="preserve">No</t>
    </r>
  </si>
  <si>
    <t xml:space="preserve">날짜</t>
  </si>
  <si>
    <r>
      <rPr>
        <b val="true"/>
        <sz val="9"/>
        <color rgb="FFFFFFFF"/>
        <rFont val="맑은 고딕"/>
        <family val="0"/>
        <charset val="1"/>
      </rPr>
      <t xml:space="preserve">T0 </t>
    </r>
    <r>
      <rPr>
        <b val="true"/>
        <sz val="9"/>
        <color rgb="FFFFFFFF"/>
        <rFont val="WenQuanYi Zen Hei"/>
        <family val="2"/>
      </rPr>
      <t xml:space="preserve">헤더압력
</t>
    </r>
    <r>
      <rPr>
        <b val="true"/>
        <sz val="9"/>
        <color rgb="FFFFFFFF"/>
        <rFont val="맑은 고딕"/>
        <family val="0"/>
        <charset val="1"/>
      </rPr>
      <t xml:space="preserve">SP </t>
    </r>
    <r>
      <rPr>
        <b val="true"/>
        <sz val="9"/>
        <color rgb="FFFFFFFF"/>
        <rFont val="WenQuanYi Zen Hei"/>
        <family val="2"/>
      </rPr>
      <t xml:space="preserve">도달</t>
    </r>
  </si>
  <si>
    <r>
      <rPr>
        <b val="true"/>
        <sz val="9"/>
        <color rgb="FFFFFFFF"/>
        <rFont val="맑은 고딕"/>
        <family val="0"/>
        <charset val="1"/>
      </rPr>
      <t xml:space="preserve">T1 SRC
</t>
    </r>
    <r>
      <rPr>
        <b val="true"/>
        <sz val="9"/>
        <color rgb="FFFFFFFF"/>
        <rFont val="WenQuanYi Zen Hei"/>
        <family val="2"/>
      </rPr>
      <t xml:space="preserve">전환신호</t>
    </r>
  </si>
  <si>
    <r>
      <rPr>
        <b val="true"/>
        <sz val="9"/>
        <color rgb="FFFFFFFF"/>
        <rFont val="맑은 고딕"/>
        <family val="0"/>
        <charset val="1"/>
      </rPr>
      <t xml:space="preserve">T2 MV
</t>
    </r>
    <r>
      <rPr>
        <b val="true"/>
        <sz val="9"/>
        <color rgb="FFFFFFFF"/>
        <rFont val="WenQuanYi Zen Hei"/>
        <family val="2"/>
      </rPr>
      <t xml:space="preserve">개도지령</t>
    </r>
  </si>
  <si>
    <r>
      <rPr>
        <b val="true"/>
        <sz val="9"/>
        <color rgb="FFFFFFFF"/>
        <rFont val="맑은 고딕"/>
        <family val="0"/>
        <charset val="1"/>
      </rPr>
      <t xml:space="preserve">T3 MV
</t>
    </r>
    <r>
      <rPr>
        <b val="true"/>
        <sz val="9"/>
        <color rgb="FFFFFFFF"/>
        <rFont val="WenQuanYi Zen Hei"/>
        <family val="2"/>
      </rPr>
      <t xml:space="preserve">실제 동작시작</t>
    </r>
  </si>
  <si>
    <r>
      <rPr>
        <b val="true"/>
        <sz val="9"/>
        <color rgb="FFFFFFFF"/>
        <rFont val="맑은 고딕"/>
        <family val="0"/>
        <charset val="1"/>
      </rPr>
      <t xml:space="preserve">T4 </t>
    </r>
    <r>
      <rPr>
        <b val="true"/>
        <sz val="9"/>
        <color rgb="FFFFFFFF"/>
        <rFont val="WenQuanYi Zen Hei"/>
        <family val="2"/>
      </rPr>
      <t xml:space="preserve">급기온도
상승시작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열도달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</si>
  <si>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T5 </t>
    </r>
    <r>
      <rPr>
        <b val="true"/>
        <sz val="9"/>
        <color rgb="FFFFFFFF"/>
        <rFont val="WenQuanYi Zen Hei"/>
        <family val="2"/>
      </rPr>
      <t xml:space="preserve">히터
</t>
    </r>
    <r>
      <rPr>
        <b val="true"/>
        <sz val="9"/>
        <color rgb="FFFFFFFF"/>
        <rFont val="맑은 고딕"/>
        <family val="0"/>
        <charset val="1"/>
      </rPr>
      <t xml:space="preserve">OFF </t>
    </r>
    <r>
      <rPr>
        <b val="true"/>
        <sz val="9"/>
        <color rgb="FFFFFFFF"/>
        <rFont val="WenQuanYi Zen Hei"/>
        <family val="2"/>
      </rPr>
      <t xml:space="preserve">지령</t>
    </r>
  </si>
  <si>
    <r>
      <rPr>
        <b val="true"/>
        <sz val="9"/>
        <color rgb="FFFFFFFF"/>
        <rFont val="맑은 고딕"/>
        <family val="0"/>
        <charset val="1"/>
      </rPr>
      <t xml:space="preserve">T6 </t>
    </r>
    <r>
      <rPr>
        <b val="true"/>
        <sz val="9"/>
        <color rgb="FFFFFFFF"/>
        <rFont val="WenQuanYi Zen Hei"/>
        <family val="2"/>
      </rPr>
      <t xml:space="preserve">히터 실제
</t>
    </r>
    <r>
      <rPr>
        <b val="true"/>
        <sz val="9"/>
        <color rgb="FFFFFFFF"/>
        <rFont val="맑은 고딕"/>
        <family val="0"/>
        <charset val="1"/>
      </rPr>
      <t xml:space="preserve">OFF(</t>
    </r>
    <r>
      <rPr>
        <b val="true"/>
        <sz val="9"/>
        <color rgb="FFFFFFFF"/>
        <rFont val="WenQuanYi Zen Hei"/>
        <family val="2"/>
      </rPr>
      <t xml:space="preserve">전류 </t>
    </r>
    <r>
      <rPr>
        <b val="true"/>
        <sz val="9"/>
        <color rgb="FFFFFFFF"/>
        <rFont val="맑은 고딕"/>
        <family val="0"/>
        <charset val="1"/>
      </rPr>
      <t xml:space="preserve">0)</t>
    </r>
  </si>
  <si>
    <r>
      <rPr>
        <b val="true"/>
        <sz val="9"/>
        <color rgb="FFFFFFFF"/>
        <rFont val="맑은 고딕"/>
        <family val="0"/>
        <charset val="1"/>
      </rPr>
      <t xml:space="preserve">T7 </t>
    </r>
    <r>
      <rPr>
        <b val="true"/>
        <sz val="9"/>
        <color rgb="FFFFFFFF"/>
        <rFont val="WenQuanYi Zen Hei"/>
        <family val="2"/>
      </rPr>
      <t xml:space="preserve">급기온도
안정</t>
    </r>
    <r>
      <rPr>
        <b val="true"/>
        <sz val="9"/>
        <color rgb="FFFFFFFF"/>
        <rFont val="맑은 고딕"/>
        <family val="0"/>
        <charset val="1"/>
      </rPr>
      <t xml:space="preserve">(SP±Diff)</t>
    </r>
  </si>
  <si>
    <r>
      <rPr>
        <b val="true"/>
        <sz val="9"/>
        <color rgb="FFFFFFFF"/>
        <rFont val="WenQuanYi Zen Hei"/>
        <family val="2"/>
      </rPr>
      <t xml:space="preserve">압력→신호
</t>
    </r>
    <r>
      <rPr>
        <b val="true"/>
        <sz val="9"/>
        <color rgb="FFFFFFFF"/>
        <rFont val="맑은 고딕"/>
        <family val="0"/>
        <charset val="1"/>
      </rPr>
      <t xml:space="preserve">(T1−T0)</t>
    </r>
  </si>
  <si>
    <r>
      <rPr>
        <b val="true"/>
        <sz val="9"/>
        <color rgb="FFFFFFFF"/>
        <rFont val="WenQuanYi Zen Hei"/>
        <family val="2"/>
      </rPr>
      <t xml:space="preserve">밸브 응답
</t>
    </r>
    <r>
      <rPr>
        <b val="true"/>
        <sz val="9"/>
        <color rgb="FFFFFFFF"/>
        <rFont val="맑은 고딕"/>
        <family val="0"/>
        <charset val="1"/>
      </rPr>
      <t xml:space="preserve">(T3−T2)</t>
    </r>
  </si>
  <si>
    <r>
      <rPr>
        <b val="true"/>
        <sz val="9"/>
        <color rgb="FFFFFFFF"/>
        <rFont val="WenQuanYi Zen Hei"/>
        <family val="2"/>
      </rPr>
      <t xml:space="preserve">열전달 지연
</t>
    </r>
    <r>
      <rPr>
        <b val="true"/>
        <sz val="9"/>
        <color rgb="FFFFFFFF"/>
        <rFont val="맑은 고딕"/>
        <family val="0"/>
        <charset val="1"/>
      </rPr>
      <t xml:space="preserve">(T4−T3)</t>
    </r>
  </si>
  <si>
    <r>
      <rPr>
        <b val="true"/>
        <sz val="9"/>
        <color rgb="FFFFFFFF"/>
        <rFont val="WenQuanYi Zen Hei"/>
        <family val="2"/>
      </rPr>
      <t xml:space="preserve">스팀 총응답
</t>
    </r>
    <r>
      <rPr>
        <b val="true"/>
        <sz val="9"/>
        <color rgb="FFFFFFFF"/>
        <rFont val="맑은 고딕"/>
        <family val="0"/>
        <charset val="1"/>
      </rPr>
      <t xml:space="preserve">(T4−T1)</t>
    </r>
  </si>
  <si>
    <r>
      <rPr>
        <b val="true"/>
        <sz val="9"/>
        <color rgb="FFFFFFFF"/>
        <rFont val="WenQuanYi Zen Hei"/>
        <family val="2"/>
      </rPr>
      <t xml:space="preserve">히터 응답
</t>
    </r>
    <r>
      <rPr>
        <b val="true"/>
        <sz val="9"/>
        <color rgb="FFFFFFFF"/>
        <rFont val="맑은 고딕"/>
        <family val="0"/>
        <charset val="1"/>
      </rPr>
      <t xml:space="preserve">(T6−T5)</t>
    </r>
  </si>
  <si>
    <r>
      <rPr>
        <b val="true"/>
        <sz val="9"/>
        <color rgb="FFFFFFFF"/>
        <rFont val="WenQuanYi Zen Hei"/>
        <family val="2"/>
      </rPr>
      <t xml:space="preserve">열공백</t>
    </r>
    <r>
      <rPr>
        <b val="true"/>
        <sz val="9"/>
        <color rgb="FFFFFFFF"/>
        <rFont val="맑은 고딕"/>
        <family val="0"/>
        <charset val="1"/>
      </rPr>
      <t xml:space="preserve">(+)/
</t>
    </r>
    <r>
      <rPr>
        <b val="true"/>
        <sz val="9"/>
        <color rgb="FFFFFFFF"/>
        <rFont val="WenQuanYi Zen Hei"/>
        <family val="2"/>
      </rPr>
      <t xml:space="preserve">중첩</t>
    </r>
    <r>
      <rPr>
        <b val="true"/>
        <sz val="9"/>
        <color rgb="FFFFFFFF"/>
        <rFont val="맑은 고딕"/>
        <family val="0"/>
        <charset val="1"/>
      </rPr>
      <t xml:space="preserve">(−)
(T4−T6)</t>
    </r>
  </si>
  <si>
    <r>
      <rPr>
        <b val="true"/>
        <sz val="9"/>
        <color rgb="FFFFFFFF"/>
        <rFont val="WenQuanYi Zen Hei"/>
        <family val="2"/>
      </rPr>
      <t xml:space="preserve">안정화
</t>
    </r>
    <r>
      <rPr>
        <b val="true"/>
        <sz val="9"/>
        <color rgb="FFFFFFFF"/>
        <rFont val="맑은 고딕"/>
        <family val="0"/>
        <charset val="1"/>
      </rPr>
      <t xml:space="preserve">(T7−T1)</t>
    </r>
  </si>
  <si>
    <r>
      <rPr>
        <b val="true"/>
        <sz val="9"/>
        <color rgb="FFFFFFFF"/>
        <rFont val="WenQuanYi Zen Hei"/>
        <family val="2"/>
      </rPr>
      <t xml:space="preserve">권장
</t>
    </r>
    <r>
      <rPr>
        <b val="true"/>
        <sz val="9"/>
        <color rgb="FFFFFFFF"/>
        <rFont val="맑은 고딕"/>
        <family val="0"/>
        <charset val="1"/>
      </rPr>
      <t xml:space="preserve">Time Delay</t>
    </r>
  </si>
  <si>
    <r>
      <rPr>
        <b val="true"/>
        <sz val="9"/>
        <color rgb="FFFFFFFF"/>
        <rFont val="WenQuanYi Zen Hei"/>
        <family val="2"/>
      </rPr>
      <t xml:space="preserve">전환 중 최저
급기온도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</si>
  <si>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맑은 고딕"/>
        <family val="0"/>
        <charset val="1"/>
      </rPr>
      <t xml:space="preserve">MV </t>
    </r>
    <r>
      <rPr>
        <b val="true"/>
        <sz val="9"/>
        <color rgb="FFFFFFFF"/>
        <rFont val="WenQuanYi Zen Hei"/>
        <family val="2"/>
      </rPr>
      <t xml:space="preserve">개도율
</t>
    </r>
    <r>
      <rPr>
        <b val="true"/>
        <sz val="9"/>
        <color rgb="FFFFFFFF"/>
        <rFont val="맑은 고딕"/>
        <family val="0"/>
        <charset val="1"/>
      </rPr>
      <t xml:space="preserve">(T4 </t>
    </r>
    <r>
      <rPr>
        <b val="true"/>
        <sz val="9"/>
        <color rgb="FFFFFFFF"/>
        <rFont val="WenQuanYi Zen Hei"/>
        <family val="2"/>
      </rPr>
      <t xml:space="preserve">시점 </t>
    </r>
    <r>
      <rPr>
        <b val="true"/>
        <sz val="9"/>
        <color rgb="FFFFFFFF"/>
        <rFont val="맑은 고딕"/>
        <family val="0"/>
        <charset val="1"/>
      </rPr>
      <t xml:space="preserve">%)</t>
    </r>
  </si>
  <si>
    <r>
      <rPr>
        <sz val="10"/>
        <color rgb="FF000000"/>
        <rFont val="WenQuanYi Zen Hei"/>
        <family val="2"/>
      </rPr>
      <t xml:space="preserve">예시</t>
    </r>
    <r>
      <rPr>
        <sz val="10"/>
        <color rgb="FF000000"/>
        <rFont val="맑은 고딕"/>
        <family val="0"/>
        <charset val="1"/>
      </rPr>
      <t xml:space="preserve">: 1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맑은 고딕"/>
        <family val="0"/>
        <charset val="1"/>
      </rPr>
      <t xml:space="preserve">OFF </t>
    </r>
    <r>
      <rPr>
        <sz val="10"/>
        <color rgb="FF000000"/>
        <rFont val="WenQuanYi Zen Hei"/>
        <family val="2"/>
      </rPr>
      <t xml:space="preserve">후 전체 </t>
    </r>
    <r>
      <rPr>
        <sz val="10"/>
        <color rgb="FF000000"/>
        <rFont val="맑은 고딕"/>
        <family val="0"/>
        <charset val="1"/>
      </rPr>
      <t xml:space="preserve">OFF</t>
    </r>
  </si>
  <si>
    <r>
      <rPr>
        <b val="true"/>
        <sz val="10"/>
        <color rgb="FF000000"/>
        <rFont val="맑은 고딕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스팀 → 전기 전환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헤더압력 </t>
    </r>
    <r>
      <rPr>
        <b val="true"/>
        <sz val="10"/>
        <color rgb="FF000000"/>
        <rFont val="맑은 고딕"/>
        <family val="0"/>
        <charset val="1"/>
      </rPr>
      <t xml:space="preserve">&lt; SP </t>
    </r>
    <r>
      <rPr>
        <b val="true"/>
        <sz val="10"/>
        <color rgb="FF000000"/>
        <rFont val="WenQuanYi Zen Hei"/>
        <family val="2"/>
      </rPr>
      <t xml:space="preserve">또는 야간 전환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</si>
  <si>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T0 </t>
    </r>
    <r>
      <rPr>
        <b val="true"/>
        <sz val="9"/>
        <color rgb="FFFFFFFF"/>
        <rFont val="WenQuanYi Zen Hei"/>
        <family val="2"/>
      </rPr>
      <t xml:space="preserve">헤더압력
</t>
    </r>
    <r>
      <rPr>
        <b val="true"/>
        <sz val="9"/>
        <color rgb="FFFFFFFF"/>
        <rFont val="맑은 고딕"/>
        <family val="0"/>
        <charset val="1"/>
      </rPr>
      <t xml:space="preserve">SP </t>
    </r>
    <r>
      <rPr>
        <b val="true"/>
        <sz val="9"/>
        <color rgb="FFFFFFFF"/>
        <rFont val="WenQuanYi Zen Hei"/>
        <family val="2"/>
      </rPr>
      <t xml:space="preserve">미만</t>
    </r>
  </si>
  <si>
    <r>
      <rPr>
        <b val="true"/>
        <sz val="9"/>
        <color rgb="FFFFFFFF"/>
        <rFont val="맑은 고딕"/>
        <family val="0"/>
        <charset val="1"/>
      </rPr>
      <t xml:space="preserve">T2 </t>
    </r>
    <r>
      <rPr>
        <b val="true"/>
        <sz val="9"/>
        <color rgb="FFFFFFFF"/>
        <rFont val="WenQuanYi Zen Hei"/>
        <family val="2"/>
      </rPr>
      <t xml:space="preserve">히터
</t>
    </r>
    <r>
      <rPr>
        <b val="true"/>
        <sz val="9"/>
        <color rgb="FFFFFFFF"/>
        <rFont val="맑은 고딕"/>
        <family val="0"/>
        <charset val="1"/>
      </rPr>
      <t xml:space="preserve">ON </t>
    </r>
    <r>
      <rPr>
        <b val="true"/>
        <sz val="9"/>
        <color rgb="FFFFFFFF"/>
        <rFont val="WenQuanYi Zen Hei"/>
        <family val="2"/>
      </rPr>
      <t xml:space="preserve">지령</t>
    </r>
  </si>
  <si>
    <r>
      <rPr>
        <b val="true"/>
        <sz val="9"/>
        <color rgb="FFFFFFFF"/>
        <rFont val="맑은 고딕"/>
        <family val="0"/>
        <charset val="1"/>
      </rPr>
      <t xml:space="preserve">T3 </t>
    </r>
    <r>
      <rPr>
        <b val="true"/>
        <sz val="9"/>
        <color rgb="FFFFFFFF"/>
        <rFont val="WenQuanYi Zen Hei"/>
        <family val="2"/>
      </rPr>
      <t xml:space="preserve">히터 실제
</t>
    </r>
    <r>
      <rPr>
        <b val="true"/>
        <sz val="9"/>
        <color rgb="FFFFFFFF"/>
        <rFont val="맑은 고딕"/>
        <family val="0"/>
        <charset val="1"/>
      </rPr>
      <t xml:space="preserve">ON(</t>
    </r>
    <r>
      <rPr>
        <b val="true"/>
        <sz val="9"/>
        <color rgb="FFFFFFFF"/>
        <rFont val="WenQuanYi Zen Hei"/>
        <family val="2"/>
      </rPr>
      <t xml:space="preserve">전류 확인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</si>
  <si>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T4 MV
</t>
    </r>
    <r>
      <rPr>
        <b val="true"/>
        <sz val="9"/>
        <color rgb="FFFFFFFF"/>
        <rFont val="WenQuanYi Zen Hei"/>
        <family val="2"/>
      </rPr>
      <t xml:space="preserve">닫힘지령</t>
    </r>
  </si>
  <si>
    <r>
      <rPr>
        <b val="true"/>
        <sz val="9"/>
        <color rgb="FFFFFFFF"/>
        <rFont val="맑은 고딕"/>
        <family val="0"/>
        <charset val="1"/>
      </rPr>
      <t xml:space="preserve">T5 MV
</t>
    </r>
    <r>
      <rPr>
        <b val="true"/>
        <sz val="9"/>
        <color rgb="FFFFFFFF"/>
        <rFont val="WenQuanYi Zen Hei"/>
        <family val="2"/>
      </rPr>
      <t xml:space="preserve">완전닫힘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피드백</t>
    </r>
    <r>
      <rPr>
        <b val="true"/>
        <sz val="9"/>
        <color rgb="FFFFFFFF"/>
        <rFont val="맑은 고딕"/>
        <family val="0"/>
        <charset val="1"/>
      </rPr>
      <t xml:space="preserve">0)</t>
    </r>
  </si>
  <si>
    <r>
      <rPr>
        <b val="true"/>
        <sz val="9"/>
        <color rgb="FFFFFFFF"/>
        <rFont val="맑은 고딕"/>
        <family val="0"/>
        <charset val="1"/>
      </rPr>
      <t xml:space="preserve">T6 </t>
    </r>
    <r>
      <rPr>
        <b val="true"/>
        <sz val="9"/>
        <color rgb="FFFFFFFF"/>
        <rFont val="WenQuanYi Zen Hei"/>
        <family val="2"/>
      </rPr>
      <t xml:space="preserve">코일 후단
온도 하강시작</t>
    </r>
  </si>
  <si>
    <r>
      <rPr>
        <b val="true"/>
        <sz val="9"/>
        <color rgb="FFFFFFFF"/>
        <rFont val="WenQuanYi Zen Hei"/>
        <family val="2"/>
      </rPr>
      <t xml:space="preserve">히터 응답
</t>
    </r>
    <r>
      <rPr>
        <b val="true"/>
        <sz val="9"/>
        <color rgb="FFFFFFFF"/>
        <rFont val="맑은 고딕"/>
        <family val="0"/>
        <charset val="1"/>
      </rPr>
      <t xml:space="preserve">(T3−T2)</t>
    </r>
  </si>
  <si>
    <r>
      <rPr>
        <b val="true"/>
        <sz val="9"/>
        <color rgb="FFFFFFFF"/>
        <rFont val="WenQuanYi Zen Hei"/>
        <family val="2"/>
      </rPr>
      <t xml:space="preserve">밸브 닫힘
</t>
    </r>
    <r>
      <rPr>
        <b val="true"/>
        <sz val="9"/>
        <color rgb="FFFFFFFF"/>
        <rFont val="맑은 고딕"/>
        <family val="0"/>
        <charset val="1"/>
      </rPr>
      <t xml:space="preserve">(T5−T4)</t>
    </r>
  </si>
  <si>
    <r>
      <rPr>
        <b val="true"/>
        <sz val="9"/>
        <color rgb="FFFFFFFF"/>
        <rFont val="WenQuanYi Zen Hei"/>
        <family val="2"/>
      </rPr>
      <t xml:space="preserve">중첩시간
</t>
    </r>
    <r>
      <rPr>
        <b val="true"/>
        <sz val="9"/>
        <color rgb="FFFFFFFF"/>
        <rFont val="맑은 고딕"/>
        <family val="0"/>
        <charset val="1"/>
      </rPr>
      <t xml:space="preserve">(T5−T3)</t>
    </r>
  </si>
  <si>
    <r>
      <rPr>
        <b val="true"/>
        <sz val="9"/>
        <color rgb="FFFFFFFF"/>
        <rFont val="WenQuanYi Zen Hei"/>
        <family val="2"/>
      </rPr>
      <t xml:space="preserve">히터</t>
    </r>
    <r>
      <rPr>
        <b val="true"/>
        <sz val="9"/>
        <color rgb="FFFFFFFF"/>
        <rFont val="맑은 고딕"/>
        <family val="0"/>
        <charset val="1"/>
      </rPr>
      <t xml:space="preserve">ON→</t>
    </r>
    <r>
      <rPr>
        <b val="true"/>
        <sz val="9"/>
        <color rgb="FFFFFFFF"/>
        <rFont val="WenQuanYi Zen Hei"/>
        <family val="2"/>
      </rPr>
      <t xml:space="preserve">밸브지령
</t>
    </r>
    <r>
      <rPr>
        <b val="true"/>
        <sz val="9"/>
        <color rgb="FFFFFFFF"/>
        <rFont val="맑은 고딕"/>
        <family val="0"/>
        <charset val="1"/>
      </rPr>
      <t xml:space="preserve">(T4−T3)</t>
    </r>
  </si>
  <si>
    <r>
      <rPr>
        <b val="true"/>
        <sz val="9"/>
        <color rgb="FFFFFFFF"/>
        <rFont val="WenQuanYi Zen Hei"/>
        <family val="2"/>
      </rPr>
      <t xml:space="preserve">잔열 지속
</t>
    </r>
    <r>
      <rPr>
        <b val="true"/>
        <sz val="9"/>
        <color rgb="FFFFFFFF"/>
        <rFont val="맑은 고딕"/>
        <family val="0"/>
        <charset val="1"/>
      </rPr>
      <t xml:space="preserve">(T6−T5)</t>
    </r>
  </si>
  <si>
    <r>
      <rPr>
        <b val="true"/>
        <sz val="9"/>
        <color rgb="FFFFFFFF"/>
        <rFont val="WenQuanYi Zen Hei"/>
        <family val="2"/>
      </rPr>
      <t xml:space="preserve">최고 급기
오버슈트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</si>
  <si>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전환 중 최고
급기온도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</si>
  <si>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급기온도
</t>
    </r>
    <r>
      <rPr>
        <b val="true"/>
        <sz val="9"/>
        <color rgb="FFFFFFFF"/>
        <rFont val="맑은 고딕"/>
        <family val="0"/>
        <charset val="1"/>
      </rPr>
      <t xml:space="preserve">SP(℃)</t>
    </r>
  </si>
  <si>
    <r>
      <rPr>
        <sz val="10"/>
        <color rgb="FF000000"/>
        <rFont val="WenQuanYi Zen Hei"/>
        <family val="2"/>
      </rPr>
      <t xml:space="preserve">예시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히터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단 동시 </t>
    </r>
    <r>
      <rPr>
        <sz val="10"/>
        <color rgb="FF000000"/>
        <rFont val="맑은 고딕"/>
        <family val="0"/>
        <charset val="1"/>
      </rPr>
      <t xml:space="preserve">ON</t>
    </r>
  </si>
  <si>
    <r>
      <rPr>
        <sz val="9"/>
        <color rgb="FF000000"/>
        <rFont val="WenQuanYi Zen Hei"/>
        <family val="2"/>
      </rPr>
      <t xml:space="preserve">※ 히터 실제 </t>
    </r>
    <r>
      <rPr>
        <sz val="9"/>
        <color rgb="FF000000"/>
        <rFont val="맑은 고딕"/>
        <family val="0"/>
        <charset val="1"/>
      </rPr>
      <t xml:space="preserve">OFF/ON</t>
    </r>
    <r>
      <rPr>
        <sz val="9"/>
        <color rgb="FF000000"/>
        <rFont val="WenQuanYi Zen Hei"/>
        <family val="2"/>
      </rPr>
      <t xml:space="preserve">은 히터 판넬 전류계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클램프미터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또는 </t>
    </r>
    <r>
      <rPr>
        <sz val="9"/>
        <color rgb="FF000000"/>
        <rFont val="맑은 고딕"/>
        <family val="0"/>
        <charset val="1"/>
      </rPr>
      <t xml:space="preserve">MC </t>
    </r>
    <r>
      <rPr>
        <sz val="9"/>
        <color rgb="FF000000"/>
        <rFont val="WenQuanYi Zen Hei"/>
        <family val="2"/>
      </rPr>
      <t xml:space="preserve">동작음으로 확인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열도달</t>
    </r>
    <r>
      <rPr>
        <sz val="9"/>
        <color rgb="FF000000"/>
        <rFont val="맑은 고딕"/>
        <family val="0"/>
        <charset val="1"/>
      </rPr>
      <t xml:space="preserve">(T4)</t>
    </r>
    <r>
      <rPr>
        <sz val="9"/>
        <color rgb="FF000000"/>
        <rFont val="WenQuanYi Zen Hei"/>
        <family val="2"/>
      </rPr>
      <t xml:space="preserve">은 급기온도가 </t>
    </r>
    <r>
      <rPr>
        <sz val="9"/>
        <color rgb="FF000000"/>
        <rFont val="맑은 고딕"/>
        <family val="0"/>
        <charset val="1"/>
      </rPr>
      <t xml:space="preserve">0.3℃ </t>
    </r>
    <r>
      <rPr>
        <sz val="9"/>
        <color rgb="FF000000"/>
        <rFont val="WenQuanYi Zen Hei"/>
        <family val="2"/>
      </rPr>
      <t xml:space="preserve">이상 연속 상승 시작한 시각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</si>
  <si>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WenQuanYi Zen Hei"/>
        <family val="2"/>
      </rPr>
      <t xml:space="preserve">※ 스팀→전기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중첩시간이 너무 짧으면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또는 음수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급기온도 급락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너무 길면 오버슈트 → 오버슈트 컬럼으로 함께 판단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</si>
  <si>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b val="true"/>
        <sz val="14"/>
        <color rgb="FF000000"/>
        <rFont val="맑은 고딕"/>
        <family val="0"/>
        <charset val="1"/>
      </rPr>
      <t xml:space="preserve">4. </t>
    </r>
    <r>
      <rPr>
        <b val="true"/>
        <sz val="14"/>
        <color rgb="FF000000"/>
        <rFont val="WenQuanYi Zen Hei"/>
        <family val="2"/>
      </rPr>
      <t xml:space="preserve">밸브 초기개도 </t>
    </r>
    <r>
      <rPr>
        <b val="true"/>
        <sz val="14"/>
        <color rgb="FF000000"/>
        <rFont val="맑은 고딕"/>
        <family val="0"/>
        <charset val="1"/>
      </rPr>
      <t xml:space="preserve">/ </t>
    </r>
    <r>
      <rPr>
        <b val="true"/>
        <sz val="14"/>
        <color rgb="FF000000"/>
        <rFont val="WenQuanYi Zen Hei"/>
        <family val="2"/>
      </rPr>
      <t xml:space="preserve">램프 시험 트렌드 </t>
    </r>
    <r>
      <rPr>
        <b val="true"/>
        <sz val="14"/>
        <color rgb="FF000000"/>
        <rFont val="맑은 고딕"/>
        <family val="0"/>
        <charset val="1"/>
      </rPr>
      <t xml:space="preserve">(1</t>
    </r>
    <r>
      <rPr>
        <b val="true"/>
        <sz val="14"/>
        <color rgb="FF000000"/>
        <rFont val="WenQuanYi Zen Hei"/>
        <family val="2"/>
      </rPr>
      <t xml:space="preserve">분 간격</t>
    </r>
    <r>
      <rPr>
        <b val="true"/>
        <sz val="14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</si>
  <si>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스팀 전환 직후 급기온도가 급격히 오르지 않는지 확인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상승률이 허용치 초과 시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초과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표시 → 즉시 개도 낮추고 메모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시험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건당 블록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개 사용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결과는 </t>
    </r>
    <r>
      <rPr>
        <sz val="9"/>
        <color rgb="FF595959"/>
        <rFont val="맑은 고딕"/>
        <family val="0"/>
        <charset val="1"/>
      </rPr>
      <t xml:space="preserve">'5_</t>
    </r>
    <r>
      <rPr>
        <sz val="9"/>
        <color rgb="FF595959"/>
        <rFont val="WenQuanYi Zen Hei"/>
        <family val="2"/>
      </rPr>
      <t xml:space="preserve">초기개도</t>
    </r>
    <r>
      <rPr>
        <sz val="9"/>
        <color rgb="FF595959"/>
        <rFont val="맑은 고딕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매트릭스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에 옮겨 적음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</si>
  <si>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WenQuanYi Zen Hei"/>
        <family val="2"/>
      </rPr>
      <t xml:space="preserve">시험 블록 </t>
    </r>
    <r>
      <rPr>
        <b val="true"/>
        <sz val="10"/>
        <color rgb="FF000000"/>
        <rFont val="맑은 고딕"/>
        <family val="0"/>
        <charset val="1"/>
      </rPr>
      <t xml:space="preserve">1 (</t>
    </r>
    <r>
      <rPr>
        <b val="true"/>
        <sz val="10"/>
        <color rgb="FF000000"/>
        <rFont val="WenQuanYi Zen Hei"/>
        <family val="2"/>
      </rPr>
      <t xml:space="preserve">예시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</si>
  <si>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Test ID</t>
  </si>
  <si>
    <t xml:space="preserve">T-01</t>
  </si>
  <si>
    <r>
      <rPr>
        <b val="true"/>
        <sz val="9"/>
        <color rgb="FF000000"/>
        <rFont val="WenQuanYi Zen Hei"/>
        <family val="2"/>
      </rPr>
      <t xml:space="preserve">급기 </t>
    </r>
    <r>
      <rPr>
        <b val="true"/>
        <sz val="9"/>
        <color rgb="FF000000"/>
        <rFont val="맑은 고딕"/>
        <family val="0"/>
        <charset val="1"/>
      </rPr>
      <t xml:space="preserve">SP(℃)</t>
    </r>
  </si>
  <si>
    <r>
      <rPr>
        <b val="true"/>
        <sz val="9"/>
        <color rgb="FF000000"/>
        <rFont val="WenQuanYi Zen Hei"/>
        <family val="2"/>
      </rPr>
      <t xml:space="preserve">초기개도</t>
    </r>
    <r>
      <rPr>
        <b val="true"/>
        <sz val="9"/>
        <color rgb="FF000000"/>
        <rFont val="맑은 고딕"/>
        <family val="0"/>
        <charset val="1"/>
      </rPr>
      <t xml:space="preserve">(%)</t>
    </r>
  </si>
  <si>
    <r>
      <rPr>
        <b val="true"/>
        <sz val="9"/>
        <color rgb="FF000000"/>
        <rFont val="WenQuanYi Zen Hei"/>
        <family val="2"/>
      </rPr>
      <t xml:space="preserve">램프율</t>
    </r>
    <r>
      <rPr>
        <b val="true"/>
        <sz val="9"/>
        <color rgb="FF000000"/>
        <rFont val="맑은 고딕"/>
        <family val="0"/>
        <charset val="1"/>
      </rPr>
      <t xml:space="preserve">(%/</t>
    </r>
    <r>
      <rPr>
        <b val="true"/>
        <sz val="9"/>
        <color rgb="FF000000"/>
        <rFont val="WenQuanYi Zen Hei"/>
        <family val="2"/>
      </rPr>
      <t xml:space="preserve">분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</si>
  <si>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허용 상승률</t>
    </r>
    <r>
      <rPr>
        <b val="true"/>
        <sz val="9"/>
        <color rgb="FF000000"/>
        <rFont val="맑은 고딕"/>
        <family val="0"/>
        <charset val="1"/>
      </rPr>
      <t xml:space="preserve">(℃/</t>
    </r>
    <r>
      <rPr>
        <b val="true"/>
        <sz val="9"/>
        <color rgb="FF000000"/>
        <rFont val="WenQuanYi Zen Hei"/>
        <family val="2"/>
      </rPr>
      <t xml:space="preserve">분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</si>
  <si>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경과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</si>
  <si>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MV </t>
    </r>
    <r>
      <rPr>
        <b val="true"/>
        <sz val="9"/>
        <color rgb="FFFFFFFF"/>
        <rFont val="WenQuanYi Zen Hei"/>
        <family val="2"/>
      </rPr>
      <t xml:space="preserve">지령
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</si>
  <si>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맑은 고딕"/>
        <family val="0"/>
        <charset val="1"/>
      </rPr>
      <t xml:space="preserve">MV </t>
    </r>
    <r>
      <rPr>
        <b val="true"/>
        <sz val="9"/>
        <color rgb="FFFFFFFF"/>
        <rFont val="WenQuanYi Zen Hei"/>
        <family val="2"/>
      </rPr>
      <t xml:space="preserve">피드백
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</si>
  <si>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급기온도
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</si>
  <si>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급기 상승률
</t>
    </r>
    <r>
      <rPr>
        <b val="true"/>
        <sz val="9"/>
        <color rgb="FFFFFFFF"/>
        <rFont val="맑은 고딕"/>
        <family val="0"/>
        <charset val="1"/>
      </rPr>
      <t xml:space="preserve">(℃/</t>
    </r>
    <r>
      <rPr>
        <b val="true"/>
        <sz val="9"/>
        <color rgb="FFFFFFFF"/>
        <rFont val="WenQuanYi Zen Hei"/>
        <family val="2"/>
      </rPr>
      <t xml:space="preserve">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</si>
  <si>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보관소
온도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</si>
  <si>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보관소
습도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</si>
  <si>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헤더압력
</t>
    </r>
    <r>
      <rPr>
        <b val="true"/>
        <sz val="9"/>
        <color rgb="FFFFFFFF"/>
        <rFont val="맑은 고딕"/>
        <family val="0"/>
        <charset val="1"/>
      </rPr>
      <t xml:space="preserve">(bar)</t>
    </r>
  </si>
  <si>
    <r>
      <rPr>
        <b val="true"/>
        <sz val="9"/>
        <color rgb="FFFFFFFF"/>
        <rFont val="WenQuanYi Zen Hei"/>
        <family val="2"/>
      </rPr>
      <t xml:space="preserve">히터 </t>
    </r>
    <r>
      <rPr>
        <b val="true"/>
        <sz val="9"/>
        <color rgb="FFFFFFFF"/>
        <rFont val="맑은 고딕"/>
        <family val="0"/>
        <charset val="1"/>
      </rPr>
      <t xml:space="preserve">ON
</t>
    </r>
    <r>
      <rPr>
        <b val="true"/>
        <sz val="9"/>
        <color rgb="FFFFFFFF"/>
        <rFont val="WenQuanYi Zen Hei"/>
        <family val="2"/>
      </rPr>
      <t xml:space="preserve">단수</t>
    </r>
  </si>
  <si>
    <t xml:space="preserve">메모</t>
  </si>
  <si>
    <r>
      <rPr>
        <b val="true"/>
        <sz val="8"/>
        <color rgb="FF000000"/>
        <rFont val="WenQuanYi Zen Hei"/>
        <family val="2"/>
      </rPr>
      <t xml:space="preserve">최대 상승률</t>
    </r>
    <r>
      <rPr>
        <b val="true"/>
        <sz val="8"/>
        <color rgb="FF000000"/>
        <rFont val="맑은 고딕"/>
        <family val="0"/>
        <charset val="1"/>
      </rPr>
      <t xml:space="preserve">(℃/</t>
    </r>
    <r>
      <rPr>
        <b val="true"/>
        <sz val="8"/>
        <color rgb="FF000000"/>
        <rFont val="WenQuanYi Zen Hei"/>
        <family val="2"/>
      </rPr>
      <t xml:space="preserve">분</t>
    </r>
    <r>
      <rPr>
        <b val="true"/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</si>
  <si>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8"/>
        <color rgb="FF000000"/>
        <rFont val="WenQuanYi Zen Hei"/>
        <family val="2"/>
      </rPr>
      <t xml:space="preserve">최고 급기</t>
    </r>
    <r>
      <rPr>
        <b val="true"/>
        <sz val="8"/>
        <color rgb="FF000000"/>
        <rFont val="맑은 고딕"/>
        <family val="0"/>
        <charset val="1"/>
      </rPr>
      <t xml:space="preserve">(℃)</t>
    </r>
  </si>
  <si>
    <r>
      <rPr>
        <b val="true"/>
        <sz val="8"/>
        <color rgb="FF000000"/>
        <rFont val="WenQuanYi Zen Hei"/>
        <family val="2"/>
      </rPr>
      <t xml:space="preserve">오버슈트</t>
    </r>
    <r>
      <rPr>
        <b val="true"/>
        <sz val="8"/>
        <color rgb="FF000000"/>
        <rFont val="맑은 고딕"/>
        <family val="0"/>
        <charset val="1"/>
      </rPr>
      <t xml:space="preserve">(℃)</t>
    </r>
  </si>
  <si>
    <r>
      <rPr>
        <b val="true"/>
        <sz val="8"/>
        <color rgb="FF000000"/>
        <rFont val="WenQuanYi Zen Hei"/>
        <family val="2"/>
      </rPr>
      <t xml:space="preserve">보관소 온도변화</t>
    </r>
    <r>
      <rPr>
        <b val="true"/>
        <sz val="8"/>
        <color rgb="FF000000"/>
        <rFont val="맑은 고딕"/>
        <family val="0"/>
        <charset val="1"/>
      </rPr>
      <t xml:space="preserve">(℃)</t>
    </r>
  </si>
  <si>
    <t xml:space="preserve">초과 횟수</t>
  </si>
  <si>
    <r>
      <rPr>
        <b val="true"/>
        <sz val="8"/>
        <color rgb="FF000000"/>
        <rFont val="WenQuanYi Zen Hei"/>
        <family val="2"/>
      </rPr>
      <t xml:space="preserve">습도변화</t>
    </r>
    <r>
      <rPr>
        <b val="true"/>
        <sz val="8"/>
        <color rgb="FF000000"/>
        <rFont val="맑은 고딕"/>
        <family val="0"/>
        <charset val="1"/>
      </rPr>
      <t xml:space="preserve">(%)</t>
    </r>
  </si>
  <si>
    <r>
      <rPr>
        <b val="true"/>
        <sz val="10"/>
        <color rgb="FF000000"/>
        <rFont val="WenQuanYi Zen Hei"/>
        <family val="2"/>
      </rPr>
      <t xml:space="preserve">시험 블록 </t>
    </r>
    <r>
      <rPr>
        <b val="true"/>
        <sz val="10"/>
        <color rgb="FF000000"/>
        <rFont val="맑은 고딕"/>
        <family val="0"/>
        <charset val="1"/>
      </rPr>
      <t xml:space="preserve">2</t>
    </r>
  </si>
  <si>
    <r>
      <rPr>
        <b val="true"/>
        <sz val="10"/>
        <color rgb="FF000000"/>
        <rFont val="WenQuanYi Zen Hei"/>
        <family val="2"/>
      </rPr>
      <t xml:space="preserve">시험 블록 </t>
    </r>
    <r>
      <rPr>
        <b val="true"/>
        <sz val="10"/>
        <color rgb="FF000000"/>
        <rFont val="맑은 고딕"/>
        <family val="0"/>
        <charset val="1"/>
      </rPr>
      <t xml:space="preserve">3</t>
    </r>
  </si>
  <si>
    <r>
      <rPr>
        <b val="true"/>
        <sz val="10"/>
        <color rgb="FF000000"/>
        <rFont val="WenQuanYi Zen Hei"/>
        <family val="2"/>
      </rPr>
      <t xml:space="preserve">시험 블록 </t>
    </r>
    <r>
      <rPr>
        <b val="true"/>
        <sz val="10"/>
        <color rgb="FF000000"/>
        <rFont val="맑은 고딕"/>
        <family val="0"/>
        <charset val="1"/>
      </rPr>
      <t xml:space="preserve">4</t>
    </r>
  </si>
  <si>
    <r>
      <rPr>
        <b val="true"/>
        <sz val="14"/>
        <color rgb="FF000000"/>
        <rFont val="맑은 고딕"/>
        <family val="0"/>
        <charset val="1"/>
      </rPr>
      <t xml:space="preserve">5. </t>
    </r>
    <r>
      <rPr>
        <b val="true"/>
        <sz val="14"/>
        <color rgb="FF000000"/>
        <rFont val="WenQuanYi Zen Hei"/>
        <family val="2"/>
      </rPr>
      <t xml:space="preserve">초기개도율 최적화 매트릭스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설정온도 </t>
    </r>
    <r>
      <rPr>
        <b val="true"/>
        <sz val="14"/>
        <color rgb="FF000000"/>
        <rFont val="맑은 고딕"/>
        <family val="0"/>
        <charset val="1"/>
      </rPr>
      <t xml:space="preserve">× </t>
    </r>
    <r>
      <rPr>
        <b val="true"/>
        <sz val="14"/>
        <color rgb="FF000000"/>
        <rFont val="WenQuanYi Zen Hei"/>
        <family val="2"/>
      </rPr>
      <t xml:space="preserve">초기개도율</t>
    </r>
    <r>
      <rPr>
        <b val="true"/>
        <sz val="14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</si>
  <si>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같은 </t>
    </r>
    <r>
      <rPr>
        <sz val="9"/>
        <color rgb="FF595959"/>
        <rFont val="맑은 고딕"/>
        <family val="0"/>
        <charset val="1"/>
      </rPr>
      <t xml:space="preserve">AHU</t>
    </r>
    <r>
      <rPr>
        <sz val="9"/>
        <color rgb="FF595959"/>
        <rFont val="WenQuanYi Zen Hei"/>
        <family val="2"/>
      </rPr>
      <t xml:space="preserve">에서 초기개도율을 바꿔가며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</t>
    </r>
    <r>
      <rPr>
        <sz val="9"/>
        <color rgb="FF595959"/>
        <rFont val="맑은 고딕"/>
        <family val="0"/>
        <charset val="1"/>
      </rPr>
      <t xml:space="preserve">: 10→15→20%) </t>
    </r>
    <r>
      <rPr>
        <sz val="9"/>
        <color rgb="FF595959"/>
        <rFont val="WenQuanYi Zen Hei"/>
        <family val="2"/>
      </rPr>
      <t xml:space="preserve">반복 시험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판정 기준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아래 노란칸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을 모두 만족하는 조합 중 안정화 시간이 가장 짧은 값을 해당 설정온도의 초기개도로 채택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외기온도 조건이 다르면 별도 행으로 기록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</si>
  <si>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9"/>
        <color rgb="FF000000"/>
        <rFont val="WenQuanYi Zen Hei"/>
        <family val="2"/>
      </rPr>
      <t xml:space="preserve">허용 오버슈트</t>
    </r>
    <r>
      <rPr>
        <b val="true"/>
        <sz val="9"/>
        <color rgb="FF000000"/>
        <rFont val="맑은 고딕"/>
        <family val="0"/>
        <charset val="1"/>
      </rPr>
      <t xml:space="preserve">(℃)</t>
    </r>
  </si>
  <si>
    <r>
      <rPr>
        <b val="true"/>
        <sz val="9"/>
        <color rgb="FF000000"/>
        <rFont val="WenQuanYi Zen Hei"/>
        <family val="2"/>
      </rPr>
      <t xml:space="preserve">보관소 허용변화</t>
    </r>
    <r>
      <rPr>
        <b val="true"/>
        <sz val="9"/>
        <color rgb="FF000000"/>
        <rFont val="맑은 고딕"/>
        <family val="0"/>
        <charset val="1"/>
      </rPr>
      <t xml:space="preserve">(℃)</t>
    </r>
  </si>
  <si>
    <r>
      <rPr>
        <sz val="9"/>
        <color rgb="FF000000"/>
        <rFont val="WenQuanYi Zen Hei"/>
        <family val="2"/>
      </rPr>
      <t xml:space="preserve">← 가정치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보관소 관리기준으로 수정</t>
    </r>
  </si>
  <si>
    <r>
      <rPr>
        <b val="true"/>
        <sz val="9"/>
        <color rgb="FFFFFFFF"/>
        <rFont val="WenQuanYi Zen Hei"/>
        <family val="2"/>
      </rPr>
      <t xml:space="preserve">외기온도
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</si>
  <si>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보관소
설정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</si>
  <si>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급기 </t>
    </r>
    <r>
      <rPr>
        <b val="true"/>
        <sz val="9"/>
        <color rgb="FFFFFFFF"/>
        <rFont val="맑은 고딕"/>
        <family val="0"/>
        <charset val="1"/>
      </rPr>
      <t xml:space="preserve">SP
(℃)</t>
    </r>
  </si>
  <si>
    <r>
      <rPr>
        <b val="true"/>
        <sz val="9"/>
        <color rgb="FFFFFFFF"/>
        <rFont val="WenQuanYi Zen Hei"/>
        <family val="2"/>
      </rPr>
      <t xml:space="preserve">전환 전
급기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</si>
  <si>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초기개도
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</si>
  <si>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램프율
</t>
    </r>
    <r>
      <rPr>
        <b val="true"/>
        <sz val="9"/>
        <color rgb="FFFFFFFF"/>
        <rFont val="맑은 고딕"/>
        <family val="0"/>
        <charset val="1"/>
      </rPr>
      <t xml:space="preserve">(%/</t>
    </r>
    <r>
      <rPr>
        <b val="true"/>
        <sz val="9"/>
        <color rgb="FFFFFFFF"/>
        <rFont val="WenQuanYi Zen Hei"/>
        <family val="2"/>
      </rPr>
      <t xml:space="preserve">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</si>
  <si>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최대개도
제한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</si>
  <si>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최대 상승률
</t>
    </r>
    <r>
      <rPr>
        <b val="true"/>
        <sz val="9"/>
        <color rgb="FFFFFFFF"/>
        <rFont val="맑은 고딕"/>
        <family val="0"/>
        <charset val="1"/>
      </rPr>
      <t xml:space="preserve">(℃/</t>
    </r>
    <r>
      <rPr>
        <b val="true"/>
        <sz val="9"/>
        <color rgb="FFFFFFFF"/>
        <rFont val="WenQuanYi Zen Hei"/>
        <family val="2"/>
      </rPr>
      <t xml:space="preserve">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</si>
  <si>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오버슈트
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</si>
  <si>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안정화
시간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</si>
  <si>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보관소
온도변화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</si>
  <si>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r>
      <rPr>
        <b val="true"/>
        <sz val="9"/>
        <color rgb="FFFFFFFF"/>
        <rFont val="WenQuanYi Zen Hei"/>
        <family val="2"/>
      </rPr>
      <t xml:space="preserve">열도달 시
개도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</si>
  <si>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sz val="10"/>
        <color rgb="FF0000FF"/>
        <rFont val="WenQuanYi Zen Hei"/>
        <family val="2"/>
      </rPr>
      <t xml:space="preserve">예시 — </t>
    </r>
    <r>
      <rPr>
        <sz val="10"/>
        <color rgb="FF0000FF"/>
        <rFont val="맑은 고딕"/>
        <family val="0"/>
        <charset val="1"/>
      </rPr>
      <t xml:space="preserve">4_</t>
    </r>
    <r>
      <rPr>
        <sz val="10"/>
        <color rgb="FF0000FF"/>
        <rFont val="WenQuanYi Zen Hei"/>
        <family val="2"/>
      </rPr>
      <t xml:space="preserve">트렌드 블록</t>
    </r>
    <r>
      <rPr>
        <sz val="10"/>
        <color rgb="FF0000FF"/>
        <rFont val="맑은 고딕"/>
        <family val="0"/>
        <charset val="1"/>
      </rPr>
      <t xml:space="preserve">1</t>
    </r>
  </si>
  <si>
    <r>
      <rPr>
        <b val="true"/>
        <sz val="10"/>
        <color rgb="FF000000"/>
        <rFont val="맑은 고딕"/>
        <family val="0"/>
        <charset val="1"/>
      </rPr>
      <t xml:space="preserve">5-1. </t>
    </r>
    <r>
      <rPr>
        <b val="true"/>
        <sz val="10"/>
        <color rgb="FF000000"/>
        <rFont val="WenQuanYi Zen Hei"/>
        <family val="2"/>
      </rPr>
      <t xml:space="preserve">설정온도별 채택 초기개도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결론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</si>
  <si>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급기 </t>
    </r>
    <r>
      <rPr>
        <b val="true"/>
        <sz val="9"/>
        <color rgb="FFFFFFFF"/>
        <rFont val="맑은 고딕"/>
        <family val="0"/>
        <charset val="1"/>
      </rPr>
      <t xml:space="preserve">SP
15~18℃</t>
    </r>
  </si>
  <si>
    <r>
      <rPr>
        <b val="true"/>
        <sz val="9"/>
        <color rgb="FFFFFFFF"/>
        <rFont val="WenQuanYi Zen Hei"/>
        <family val="2"/>
      </rPr>
      <t xml:space="preserve">급기 </t>
    </r>
    <r>
      <rPr>
        <b val="true"/>
        <sz val="9"/>
        <color rgb="FFFFFFFF"/>
        <rFont val="맑은 고딕"/>
        <family val="0"/>
        <charset val="1"/>
      </rPr>
      <t xml:space="preserve">SP
18~21℃</t>
    </r>
  </si>
  <si>
    <r>
      <rPr>
        <b val="true"/>
        <sz val="9"/>
        <color rgb="FFFFFFFF"/>
        <rFont val="WenQuanYi Zen Hei"/>
        <family val="2"/>
      </rPr>
      <t xml:space="preserve">급기 </t>
    </r>
    <r>
      <rPr>
        <b val="true"/>
        <sz val="9"/>
        <color rgb="FFFFFFFF"/>
        <rFont val="맑은 고딕"/>
        <family val="0"/>
        <charset val="1"/>
      </rPr>
      <t xml:space="preserve">SP
21~24℃</t>
    </r>
  </si>
  <si>
    <r>
      <rPr>
        <b val="true"/>
        <sz val="9"/>
        <color rgb="FFFFFFFF"/>
        <rFont val="WenQuanYi Zen Hei"/>
        <family val="2"/>
      </rPr>
      <t xml:space="preserve">급기 </t>
    </r>
    <r>
      <rPr>
        <b val="true"/>
        <sz val="9"/>
        <color rgb="FFFFFFFF"/>
        <rFont val="맑은 고딕"/>
        <family val="0"/>
        <charset val="1"/>
      </rPr>
      <t xml:space="preserve">SP
24℃~</t>
    </r>
  </si>
  <si>
    <r>
      <rPr>
        <b val="true"/>
        <sz val="9"/>
        <color rgb="FFFFFFFF"/>
        <rFont val="WenQuanYi Zen Hei"/>
        <family val="2"/>
      </rPr>
      <t xml:space="preserve">채택 램프율
</t>
    </r>
    <r>
      <rPr>
        <b val="true"/>
        <sz val="9"/>
        <color rgb="FFFFFFFF"/>
        <rFont val="맑은 고딕"/>
        <family val="0"/>
        <charset val="1"/>
      </rPr>
      <t xml:space="preserve">(%/</t>
    </r>
    <r>
      <rPr>
        <b val="true"/>
        <sz val="9"/>
        <color rgb="FFFFFFFF"/>
        <rFont val="WenQuanYi Zen Hei"/>
        <family val="2"/>
      </rPr>
      <t xml:space="preserve">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</si>
  <si>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외기 조건</t>
  </si>
  <si>
    <r>
      <rPr>
        <b val="true"/>
        <sz val="14"/>
        <color rgb="FF000000"/>
        <rFont val="맑은 고딕"/>
        <family val="0"/>
        <charset val="1"/>
      </rPr>
      <t xml:space="preserve">6. </t>
    </r>
    <r>
      <rPr>
        <b val="true"/>
        <sz val="14"/>
        <color rgb="FF000000"/>
        <rFont val="WenQuanYi Zen Hei"/>
        <family val="2"/>
      </rPr>
      <t xml:space="preserve">추가 점검 체크리스트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전환 로직 최적화 관련</t>
    </r>
    <r>
      <rPr>
        <b val="true"/>
        <sz val="14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</si>
  <si>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: OK / NG / N/A / </t>
    </r>
    <r>
      <rPr>
        <sz val="9"/>
        <color rgb="FF595959"/>
        <rFont val="WenQuanYi Zen Hei"/>
        <family val="2"/>
      </rPr>
      <t xml:space="preserve">보류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기준값은 일반적인 가정치이며 현장 기준에 맞춰 수정</t>
    </r>
    <r>
      <rPr>
        <sz val="9"/>
        <color rgb="FF595959"/>
        <rFont val="맑은 고딕"/>
        <family val="0"/>
        <charset val="1"/>
      </rPr>
      <t xml:space="preserve">. ★ = </t>
    </r>
    <r>
      <rPr>
        <sz val="9"/>
        <color rgb="FF595959"/>
        <rFont val="WenQuanYi Zen Hei"/>
        <family val="2"/>
      </rPr>
      <t xml:space="preserve">이번 조사에서 결정해야 할 사전 항목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</si>
  <si>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점검 항목</t>
  </si>
  <si>
    <r>
      <rPr>
        <b val="true"/>
        <sz val="9"/>
        <color rgb="FFFFFFFF"/>
        <rFont val="WenQuanYi Zen Hei"/>
        <family val="2"/>
      </rPr>
      <t xml:space="preserve">확인 방법 </t>
    </r>
    <r>
      <rPr>
        <b val="true"/>
        <sz val="9"/>
        <color rgb="FFFFFFFF"/>
        <rFont val="맑은 고딕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기준</t>
    </r>
  </si>
  <si>
    <r>
      <rPr>
        <b val="true"/>
        <sz val="9"/>
        <color rgb="FFFFFFFF"/>
        <rFont val="WenQuanYi Zen Hei"/>
        <family val="2"/>
      </rPr>
      <t xml:space="preserve">대상 </t>
    </r>
    <r>
      <rPr>
        <b val="true"/>
        <sz val="9"/>
        <color rgb="FFFFFFFF"/>
        <rFont val="맑은 고딕"/>
        <family val="0"/>
        <charset val="1"/>
      </rPr>
      <t xml:space="preserve">AHU</t>
    </r>
  </si>
  <si>
    <t xml:space="preserve">결과</t>
  </si>
  <si>
    <r>
      <rPr>
        <b val="true"/>
        <sz val="9"/>
        <color rgb="FFFFFFFF"/>
        <rFont val="WenQuanYi Zen Hei"/>
        <family val="2"/>
      </rPr>
      <t xml:space="preserve">측정값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WenQuanYi Zen Hei"/>
        <family val="2"/>
      </rPr>
      <t xml:space="preserve">내용</t>
    </r>
  </si>
  <si>
    <t xml:space="preserve">조치 필요사항</t>
  </si>
  <si>
    <t xml:space="preserve">사전 결정★</t>
  </si>
  <si>
    <r>
      <rPr>
        <sz val="10"/>
        <color rgb="FF000000"/>
        <rFont val="WenQuanYi Zen Hei"/>
        <family val="2"/>
      </rPr>
      <t xml:space="preserve">일반제동 헤더압력 일중 변화 → </t>
    </r>
    <r>
      <rPr>
        <sz val="10"/>
        <color rgb="FF000000"/>
        <rFont val="맑은 고딕"/>
        <family val="0"/>
        <charset val="1"/>
      </rPr>
      <t xml:space="preserve">Pressure SP </t>
    </r>
    <r>
      <rPr>
        <sz val="10"/>
        <color rgb="FF000000"/>
        <rFont val="WenQuanYi Zen Hei"/>
        <family val="2"/>
      </rPr>
      <t xml:space="preserve">결정</t>
    </r>
  </si>
  <si>
    <r>
      <rPr>
        <sz val="9"/>
        <color rgb="FF000000"/>
        <rFont val="WenQuanYi Zen Hei"/>
        <family val="2"/>
      </rPr>
      <t xml:space="preserve">현재 </t>
    </r>
    <r>
      <rPr>
        <sz val="9"/>
        <color rgb="FF000000"/>
        <rFont val="맑은 고딕"/>
        <family val="0"/>
        <charset val="1"/>
      </rPr>
      <t xml:space="preserve">SP 10.0 bar</t>
    </r>
    <r>
      <rPr>
        <sz val="9"/>
        <color rgb="FF000000"/>
        <rFont val="WenQuanYi Zen Hei"/>
        <family val="2"/>
      </rPr>
      <t xml:space="preserve">는 임시값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헤더 최고 약 </t>
    </r>
    <r>
      <rPr>
        <sz val="9"/>
        <color rgb="FF000000"/>
        <rFont val="맑은 고딕"/>
        <family val="0"/>
        <charset val="1"/>
      </rPr>
      <t xml:space="preserve">8 bar. 1_</t>
    </r>
    <r>
      <rPr>
        <sz val="9"/>
        <color rgb="FF000000"/>
        <rFont val="WenQuanYi Zen Hei"/>
        <family val="2"/>
      </rPr>
      <t xml:space="preserve">파라메터기록 하단 프로파일 기록 후 주간 유지 가능한 압력으로 </t>
    </r>
    <r>
      <rPr>
        <sz val="9"/>
        <color rgb="FF000000"/>
        <rFont val="맑은 고딕"/>
        <family val="0"/>
        <charset val="1"/>
      </rPr>
      <t xml:space="preserve">SP </t>
    </r>
    <r>
      <rPr>
        <sz val="9"/>
        <color rgb="FF000000"/>
        <rFont val="WenQuanYi Zen Hei"/>
        <family val="2"/>
      </rPr>
      <t xml:space="preserve">결정</t>
    </r>
  </si>
  <si>
    <r>
      <rPr>
        <sz val="10"/>
        <color rgb="FF000000"/>
        <rFont val="WenQuanYi Zen Hei"/>
        <family val="2"/>
      </rPr>
      <t xml:space="preserve">세파제동 헤더압력 일중 변화 → </t>
    </r>
    <r>
      <rPr>
        <sz val="10"/>
        <color rgb="FF000000"/>
        <rFont val="맑은 고딕"/>
        <family val="0"/>
        <charset val="1"/>
      </rPr>
      <t xml:space="preserve">Pressure SP </t>
    </r>
    <r>
      <rPr>
        <sz val="10"/>
        <color rgb="FF000000"/>
        <rFont val="WenQuanYi Zen Hei"/>
        <family val="2"/>
      </rPr>
      <t xml:space="preserve">검증</t>
    </r>
  </si>
  <si>
    <r>
      <rPr>
        <sz val="9"/>
        <color rgb="FF000000"/>
        <rFont val="WenQuanYi Zen Hei"/>
        <family val="2"/>
      </rPr>
      <t xml:space="preserve">현재 </t>
    </r>
    <r>
      <rPr>
        <sz val="9"/>
        <color rgb="FF000000"/>
        <rFont val="맑은 고딕"/>
        <family val="0"/>
        <charset val="1"/>
      </rPr>
      <t xml:space="preserve">SP 7.0 bar. </t>
    </r>
    <r>
      <rPr>
        <sz val="9"/>
        <color rgb="FF000000"/>
        <rFont val="WenQuanYi Zen Hei"/>
        <family val="2"/>
      </rPr>
      <t xml:space="preserve">주간 유지 압력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최저 압력 확인 후 </t>
    </r>
    <r>
      <rPr>
        <sz val="9"/>
        <color rgb="FF000000"/>
        <rFont val="맑은 고딕"/>
        <family val="0"/>
        <charset val="1"/>
      </rPr>
      <t xml:space="preserve">SP </t>
    </r>
    <r>
      <rPr>
        <sz val="9"/>
        <color rgb="FF000000"/>
        <rFont val="WenQuanYi Zen Hei"/>
        <family val="2"/>
      </rPr>
      <t xml:space="preserve">적정성 판단</t>
    </r>
  </si>
  <si>
    <t xml:space="preserve">G107</t>
  </si>
  <si>
    <r>
      <rPr>
        <sz val="10"/>
        <color rgb="FF000000"/>
        <rFont val="맑은 고딕"/>
        <family val="0"/>
        <charset val="1"/>
      </rPr>
      <t xml:space="preserve">SRC Override </t>
    </r>
    <r>
      <rPr>
        <sz val="10"/>
        <color rgb="FF000000"/>
        <rFont val="WenQuanYi Zen Hei"/>
        <family val="2"/>
      </rPr>
      <t xml:space="preserve">운전 중인 </t>
    </r>
    <r>
      <rPr>
        <sz val="10"/>
        <color rgb="FF000000"/>
        <rFont val="맑은 고딕"/>
        <family val="0"/>
        <charset val="1"/>
      </rPr>
      <t xml:space="preserve">AHU </t>
    </r>
    <r>
      <rPr>
        <sz val="10"/>
        <color rgb="FF000000"/>
        <rFont val="WenQuanYi Zen Hei"/>
        <family val="2"/>
      </rPr>
      <t xml:space="preserve">상태 기록</t>
    </r>
  </si>
  <si>
    <r>
      <rPr>
        <sz val="9"/>
        <color rgb="FF000000"/>
        <rFont val="WenQuanYi Zen Hei"/>
        <family val="2"/>
      </rPr>
      <t xml:space="preserve">캡처 시 </t>
    </r>
    <r>
      <rPr>
        <sz val="9"/>
        <color rgb="FF000000"/>
        <rFont val="맑은 고딕"/>
        <family val="0"/>
        <charset val="1"/>
      </rPr>
      <t xml:space="preserve">G204·G301·G107 Override(</t>
    </r>
    <r>
      <rPr>
        <sz val="9"/>
        <color rgb="FF000000"/>
        <rFont val="WenQuanYi Zen Hei"/>
        <family val="2"/>
      </rPr>
      <t xml:space="preserve">주황</t>
    </r>
    <r>
      <rPr>
        <sz val="9"/>
        <color rgb="FF000000"/>
        <rFont val="맑은 고딕"/>
        <family val="0"/>
        <charset val="1"/>
      </rPr>
      <t xml:space="preserve">). </t>
    </r>
    <r>
      <rPr>
        <sz val="9"/>
        <color rgb="FF000000"/>
        <rFont val="WenQuanYi Zen Hei"/>
        <family val="2"/>
      </rPr>
      <t xml:space="preserve">시험 전 상태 기록 → 시험 후 </t>
    </r>
    <r>
      <rPr>
        <sz val="9"/>
        <color rgb="FF000000"/>
        <rFont val="맑은 고딕"/>
        <family val="0"/>
        <charset val="1"/>
      </rPr>
      <t xml:space="preserve">Enable(</t>
    </r>
    <r>
      <rPr>
        <sz val="9"/>
        <color rgb="FF000000"/>
        <rFont val="WenQuanYi Zen Hei"/>
        <family val="2"/>
      </rPr>
      <t xml:space="preserve">녹색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원복 여부 결정</t>
    </r>
  </si>
  <si>
    <t xml:space="preserve">G204, G301, G107</t>
  </si>
  <si>
    <r>
      <rPr>
        <sz val="10"/>
        <color rgb="FF000000"/>
        <rFont val="맑은 고딕"/>
        <family val="0"/>
        <charset val="1"/>
      </rPr>
      <t xml:space="preserve">Time Delay </t>
    </r>
    <r>
      <rPr>
        <sz val="10"/>
        <color rgb="FF000000"/>
        <rFont val="WenQuanYi Zen Hei"/>
        <family val="2"/>
      </rPr>
      <t xml:space="preserve">입력 단위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확인</t>
    </r>
  </si>
  <si>
    <r>
      <rPr>
        <sz val="9"/>
        <color rgb="FF000000"/>
        <rFont val="WenQuanYi Zen Hei"/>
        <family val="2"/>
      </rPr>
      <t xml:space="preserve">실측 권장값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입력 시 단위 환산 필요 여부</t>
    </r>
  </si>
  <si>
    <t xml:space="preserve">전체</t>
  </si>
  <si>
    <r>
      <rPr>
        <sz val="10"/>
        <color rgb="FF000000"/>
        <rFont val="맑은 고딕"/>
        <family val="0"/>
        <charset val="1"/>
      </rPr>
      <t xml:space="preserve">Pressure Setpoint </t>
    </r>
    <r>
      <rPr>
        <sz val="10"/>
        <color rgb="FF000000"/>
        <rFont val="WenQuanYi Zen Hei"/>
        <family val="2"/>
      </rPr>
      <t xml:space="preserve">하단 빨간 주석 내용</t>
    </r>
  </si>
  <si>
    <t xml:space="preserve">주석 문구 기록</t>
  </si>
  <si>
    <t xml:space="preserve">계측</t>
  </si>
  <si>
    <r>
      <rPr>
        <sz val="10"/>
        <color rgb="FF000000"/>
        <rFont val="WenQuanYi Zen Hei"/>
        <family val="2"/>
      </rPr>
      <t xml:space="preserve">헤더 압력계 현장 지시 </t>
    </r>
    <r>
      <rPr>
        <sz val="10"/>
        <color rgb="FF000000"/>
        <rFont val="맑은 고딕"/>
        <family val="0"/>
        <charset val="1"/>
      </rPr>
      <t xml:space="preserve">vs UI (PRE-1, PRE-2)</t>
    </r>
  </si>
  <si>
    <r>
      <rPr>
        <sz val="9"/>
        <color rgb="FF000000"/>
        <rFont val="WenQuanYi Zen Hei"/>
        <family val="2"/>
      </rPr>
      <t xml:space="preserve">편차 ≤ </t>
    </r>
    <r>
      <rPr>
        <sz val="9"/>
        <color rgb="FF000000"/>
        <rFont val="맑은 고딕"/>
        <family val="0"/>
        <charset val="1"/>
      </rPr>
      <t xml:space="preserve">0.2 bar</t>
    </r>
  </si>
  <si>
    <r>
      <rPr>
        <sz val="10"/>
        <color rgb="FF000000"/>
        <rFont val="WenQuanYi Zen Hei"/>
        <family val="2"/>
      </rPr>
      <t xml:space="preserve">급기온도 센서 현장 측정 </t>
    </r>
    <r>
      <rPr>
        <sz val="10"/>
        <color rgb="FF000000"/>
        <rFont val="맑은 고딕"/>
        <family val="0"/>
        <charset val="1"/>
      </rPr>
      <t xml:space="preserve">vs UI</t>
    </r>
  </si>
  <si>
    <r>
      <rPr>
        <sz val="9"/>
        <color rgb="FF000000"/>
        <rFont val="WenQuanYi Zen Hei"/>
        <family val="2"/>
      </rPr>
      <t xml:space="preserve">기준 온도계로 비교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편차 ≤ </t>
    </r>
    <r>
      <rPr>
        <sz val="9"/>
        <color rgb="FF000000"/>
        <rFont val="맑은 고딕"/>
        <family val="0"/>
        <charset val="1"/>
      </rPr>
      <t xml:space="preserve">0.5℃</t>
    </r>
  </si>
  <si>
    <r>
      <rPr>
        <sz val="10"/>
        <color rgb="FF000000"/>
        <rFont val="WenQuanYi Zen Hei"/>
        <family val="2"/>
      </rPr>
      <t xml:space="preserve">히터 </t>
    </r>
    <r>
      <rPr>
        <sz val="10"/>
        <color rgb="FF000000"/>
        <rFont val="맑은 고딕"/>
        <family val="0"/>
        <charset val="1"/>
      </rPr>
      <t xml:space="preserve">Command ↔ Status </t>
    </r>
    <r>
      <rPr>
        <sz val="10"/>
        <color rgb="FF000000"/>
        <rFont val="WenQuanYi Zen Hei"/>
        <family val="2"/>
      </rPr>
      <t xml:space="preserve">피드백 일치</t>
    </r>
  </si>
  <si>
    <r>
      <rPr>
        <sz val="9"/>
        <color rgb="FF000000"/>
        <rFont val="WenQuanYi Zen Hei"/>
        <family val="2"/>
      </rPr>
      <t xml:space="preserve">단별 </t>
    </r>
    <r>
      <rPr>
        <sz val="9"/>
        <color rgb="FF000000"/>
        <rFont val="맑은 고딕"/>
        <family val="0"/>
        <charset val="1"/>
      </rPr>
      <t xml:space="preserve">ON/OFF </t>
    </r>
    <r>
      <rPr>
        <sz val="9"/>
        <color rgb="FF000000"/>
        <rFont val="WenQuanYi Zen Hei"/>
        <family val="2"/>
      </rPr>
      <t xml:space="preserve">지령 후 </t>
    </r>
    <r>
      <rPr>
        <sz val="9"/>
        <color rgb="FF000000"/>
        <rFont val="맑은 고딕"/>
        <family val="0"/>
        <charset val="1"/>
      </rPr>
      <t xml:space="preserve">Status </t>
    </r>
    <r>
      <rPr>
        <sz val="9"/>
        <color rgb="FF000000"/>
        <rFont val="WenQuanYi Zen Hei"/>
        <family val="2"/>
      </rPr>
      <t xml:space="preserve">표시 및 </t>
    </r>
    <r>
      <rPr>
        <sz val="9"/>
        <color rgb="FF000000"/>
        <rFont val="맑은 고딕"/>
        <family val="0"/>
        <charset val="1"/>
      </rPr>
      <t xml:space="preserve">MC </t>
    </r>
    <r>
      <rPr>
        <sz val="9"/>
        <color rgb="FF000000"/>
        <rFont val="WenQuanYi Zen Hei"/>
        <family val="2"/>
      </rPr>
      <t xml:space="preserve">동작 확인</t>
    </r>
  </si>
  <si>
    <r>
      <rPr>
        <sz val="10"/>
        <color rgb="FF000000"/>
        <rFont val="맑은 고딕"/>
        <family val="0"/>
        <charset val="1"/>
      </rPr>
      <t xml:space="preserve">Metasys </t>
    </r>
    <r>
      <rPr>
        <sz val="10"/>
        <color rgb="FF000000"/>
        <rFont val="WenQuanYi Zen Hei"/>
        <family val="2"/>
      </rPr>
      <t xml:space="preserve">트렌드 로깅 설정</t>
    </r>
  </si>
  <si>
    <r>
      <rPr>
        <sz val="9"/>
        <color rgb="FF000000"/>
        <rFont val="WenQuanYi Zen Hei"/>
        <family val="2"/>
      </rPr>
      <t xml:space="preserve">헤더압력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급기온도</t>
    </r>
    <r>
      <rPr>
        <sz val="9"/>
        <color rgb="FF000000"/>
        <rFont val="맑은 고딕"/>
        <family val="0"/>
        <charset val="1"/>
      </rPr>
      <t xml:space="preserve">·MV </t>
    </r>
    <r>
      <rPr>
        <sz val="9"/>
        <color rgb="FF000000"/>
        <rFont val="WenQuanYi Zen Hei"/>
        <family val="2"/>
      </rPr>
      <t xml:space="preserve">지령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히터 단수</t>
    </r>
    <r>
      <rPr>
        <sz val="9"/>
        <color rgb="FF000000"/>
        <rFont val="맑은 고딕"/>
        <family val="0"/>
        <charset val="1"/>
      </rPr>
      <t xml:space="preserve">, 5</t>
    </r>
    <r>
      <rPr>
        <sz val="9"/>
        <color rgb="FF000000"/>
        <rFont val="WenQuanYi Zen Hei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~1</t>
    </r>
    <r>
      <rPr>
        <sz val="9"/>
        <color rgb="FF000000"/>
        <rFont val="WenQuanYi Zen Hei"/>
        <family val="2"/>
      </rPr>
      <t xml:space="preserve">분 간격</t>
    </r>
  </si>
  <si>
    <t xml:space="preserve">전환 로직</t>
  </si>
  <si>
    <r>
      <rPr>
        <sz val="10"/>
        <color rgb="FF000000"/>
        <rFont val="WenQuanYi Zen Hei"/>
        <family val="2"/>
      </rPr>
      <t xml:space="preserve">압력 </t>
    </r>
    <r>
      <rPr>
        <sz val="10"/>
        <color rgb="FF000000"/>
        <rFont val="맑은 고딕"/>
        <family val="0"/>
        <charset val="1"/>
      </rPr>
      <t xml:space="preserve">SP </t>
    </r>
    <r>
      <rPr>
        <sz val="10"/>
        <color rgb="FF000000"/>
        <rFont val="WenQuanYi Zen Hei"/>
        <family val="2"/>
      </rPr>
      <t xml:space="preserve">부근 헌팅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채터링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여부</t>
    </r>
  </si>
  <si>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시간 내 전환 횟수 기록</t>
    </r>
    <r>
      <rPr>
        <sz val="9"/>
        <color rgb="FF000000"/>
        <rFont val="맑은 고딕"/>
        <family val="0"/>
        <charset val="1"/>
      </rPr>
      <t xml:space="preserve">. 2</t>
    </r>
    <r>
      <rPr>
        <sz val="9"/>
        <color rgb="FF000000"/>
        <rFont val="WenQuanYi Zen Hei"/>
        <family val="2"/>
      </rPr>
      <t xml:space="preserve">회 초과 시 히스테리시스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확인지연 도입</t>
    </r>
  </si>
  <si>
    <r>
      <rPr>
        <sz val="10"/>
        <color rgb="FF000000"/>
        <rFont val="WenQuanYi Zen Hei"/>
        <family val="2"/>
      </rPr>
      <t xml:space="preserve">다수 </t>
    </r>
    <r>
      <rPr>
        <sz val="10"/>
        <color rgb="FF000000"/>
        <rFont val="맑은 고딕"/>
        <family val="0"/>
        <charset val="1"/>
      </rPr>
      <t xml:space="preserve">AHU </t>
    </r>
    <r>
      <rPr>
        <sz val="10"/>
        <color rgb="FF000000"/>
        <rFont val="WenQuanYi Zen Hei"/>
        <family val="2"/>
      </rPr>
      <t xml:space="preserve">동시 스팀 전환 시 헤더압력 강하</t>
    </r>
  </si>
  <si>
    <r>
      <rPr>
        <sz val="9"/>
        <color rgb="FF000000"/>
        <rFont val="WenQuanYi Zen Hei"/>
        <family val="2"/>
      </rPr>
      <t xml:space="preserve">동시 전환 → 압력 강하폭 기록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연쇄 복귀 발생 시 순차 전환 간격 적용</t>
    </r>
  </si>
  <si>
    <r>
      <rPr>
        <sz val="10"/>
        <color rgb="FF000000"/>
        <rFont val="WenQuanYi Zen Hei"/>
        <family val="2"/>
      </rPr>
      <t xml:space="preserve">히터 일괄 </t>
    </r>
    <r>
      <rPr>
        <sz val="10"/>
        <color rgb="FF000000"/>
        <rFont val="맑은 고딕"/>
        <family val="0"/>
        <charset val="1"/>
      </rPr>
      <t xml:space="preserve">OFF </t>
    </r>
    <r>
      <rPr>
        <sz val="10"/>
        <color rgb="FF000000"/>
        <rFont val="WenQuanYi Zen Hei"/>
        <family val="2"/>
      </rPr>
      <t xml:space="preserve">시 급기온도 급락</t>
    </r>
  </si>
  <si>
    <r>
      <rPr>
        <sz val="9"/>
        <color rgb="FF000000"/>
        <rFont val="WenQuanYi Zen Hei"/>
        <family val="2"/>
      </rPr>
      <t xml:space="preserve">단계적 </t>
    </r>
    <r>
      <rPr>
        <sz val="9"/>
        <color rgb="FF000000"/>
        <rFont val="맑은 고딕"/>
        <family val="0"/>
        <charset val="1"/>
      </rPr>
      <t xml:space="preserve">OFF(</t>
    </r>
    <r>
      <rPr>
        <sz val="9"/>
        <color rgb="FF000000"/>
        <rFont val="WenQuanYi Zen Hei"/>
        <family val="2"/>
      </rPr>
      <t xml:space="preserve">단당 지연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필요성 판단 — </t>
    </r>
    <r>
      <rPr>
        <sz val="9"/>
        <color rgb="FF000000"/>
        <rFont val="맑은 고딕"/>
        <family val="0"/>
        <charset val="1"/>
      </rPr>
      <t xml:space="preserve">3_</t>
    </r>
    <r>
      <rPr>
        <sz val="9"/>
        <color rgb="FF000000"/>
        <rFont val="WenQuanYi Zen Hei"/>
        <family val="2"/>
      </rPr>
      <t xml:space="preserve">전환시간실측 최저 급기온도</t>
    </r>
  </si>
  <si>
    <t xml:space="preserve">모드 최소 유지시간</t>
  </si>
  <si>
    <r>
      <rPr>
        <sz val="9"/>
        <color rgb="FF000000"/>
        <rFont val="WenQuanYi Zen Hei"/>
        <family val="2"/>
      </rPr>
      <t xml:space="preserve">전환 직후 재전환 방지 확인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예</t>
    </r>
    <r>
      <rPr>
        <sz val="9"/>
        <color rgb="FF000000"/>
        <rFont val="맑은 고딕"/>
        <family val="0"/>
        <charset val="1"/>
      </rPr>
      <t xml:space="preserve">: 10</t>
    </r>
    <r>
      <rPr>
        <sz val="9"/>
        <color rgb="FF000000"/>
        <rFont val="WenQuanYi Zen Hei"/>
        <family val="2"/>
      </rPr>
      <t xml:space="preserve">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</si>
  <si>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주간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야간 시간 스케줄과 압력 조건 우선순위</t>
    </r>
  </si>
  <si>
    <r>
      <rPr>
        <sz val="9"/>
        <color rgb="FF000000"/>
        <rFont val="WenQuanYi Zen Hei"/>
        <family val="2"/>
      </rPr>
      <t xml:space="preserve">경부하 시간대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심야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에 압력 충분 시 동작 정의 확인</t>
    </r>
  </si>
  <si>
    <r>
      <rPr>
        <sz val="10"/>
        <color rgb="FF000000"/>
        <rFont val="맑은 고딕"/>
        <family val="0"/>
        <charset val="1"/>
      </rPr>
      <t xml:space="preserve">Diff Setpoint </t>
    </r>
    <r>
      <rPr>
        <sz val="10"/>
        <color rgb="FF000000"/>
        <rFont val="WenQuanYi Zen Hei"/>
        <family val="2"/>
      </rPr>
      <t xml:space="preserve">의미 및 히터 단계 제어 방식</t>
    </r>
  </si>
  <si>
    <r>
      <rPr>
        <sz val="9"/>
        <color rgb="FF000000"/>
        <rFont val="WenQuanYi Zen Hei"/>
        <family val="2"/>
      </rPr>
      <t xml:space="preserve">단계별 </t>
    </r>
    <r>
      <rPr>
        <sz val="9"/>
        <color rgb="FF000000"/>
        <rFont val="맑은 고딕"/>
        <family val="0"/>
        <charset val="1"/>
      </rPr>
      <t xml:space="preserve">ON/OFF </t>
    </r>
    <r>
      <rPr>
        <sz val="9"/>
        <color rgb="FF000000"/>
        <rFont val="WenQuanYi Zen Hei"/>
        <family val="2"/>
      </rPr>
      <t xml:space="preserve">차온 확인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스팀모드에서의 사용 여부</t>
    </r>
  </si>
  <si>
    <t xml:space="preserve">스팀 계통</t>
  </si>
  <si>
    <r>
      <rPr>
        <sz val="10"/>
        <color rgb="FF000000"/>
        <rFont val="WenQuanYi Zen Hei"/>
        <family val="2"/>
      </rPr>
      <t xml:space="preserve">스팀트랩 작동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응축수 배출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</si>
  <si>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트랩 전후 온도차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소리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불량 시 코일 내 응축수 → 열전달 지연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워터해머</t>
    </r>
  </si>
  <si>
    <t xml:space="preserve">스트레이너 막힘</t>
  </si>
  <si>
    <t xml:space="preserve">전후 압력차 또는 분해 점검 이력</t>
  </si>
  <si>
    <r>
      <rPr>
        <sz val="10"/>
        <color rgb="FF000000"/>
        <rFont val="WenQuanYi Zen Hei"/>
        <family val="2"/>
      </rPr>
      <t xml:space="preserve">전환 시 워터해머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충격음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</si>
  <si>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초기 개도 시 소음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진동 여부 — 있으면 초기개도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램프율 낮춤</t>
    </r>
  </si>
  <si>
    <r>
      <rPr>
        <sz val="10"/>
        <color rgb="FF000000"/>
        <rFont val="WenQuanYi Zen Hei"/>
        <family val="2"/>
      </rPr>
      <t xml:space="preserve">전기모드 시 </t>
    </r>
    <r>
      <rPr>
        <sz val="10"/>
        <color rgb="FF000000"/>
        <rFont val="맑은 고딕"/>
        <family val="0"/>
        <charset val="1"/>
      </rPr>
      <t xml:space="preserve">MV </t>
    </r>
    <r>
      <rPr>
        <sz val="10"/>
        <color rgb="FF000000"/>
        <rFont val="WenQuanYi Zen Hei"/>
        <family val="2"/>
      </rPr>
      <t xml:space="preserve">패싱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누설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</si>
  <si>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MV 0%·BV </t>
    </r>
    <r>
      <rPr>
        <sz val="9"/>
        <color rgb="FF000000"/>
        <rFont val="WenQuanYi Zen Hei"/>
        <family val="2"/>
      </rPr>
      <t xml:space="preserve">닫힘에서 코일 후단 온도 상승 여부</t>
    </r>
  </si>
  <si>
    <t xml:space="preserve">바이패스 밸브 완전 닫힘 및 표찰</t>
  </si>
  <si>
    <r>
      <rPr>
        <sz val="9"/>
        <color rgb="FF000000"/>
        <rFont val="맑은 고딕"/>
        <family val="0"/>
        <charset val="1"/>
      </rPr>
      <t xml:space="preserve">'</t>
    </r>
    <r>
      <rPr>
        <sz val="9"/>
        <color rgb="FF000000"/>
        <rFont val="WenQuanYi Zen Hei"/>
        <family val="2"/>
      </rPr>
      <t xml:space="preserve">상시 닫힘</t>
    </r>
    <r>
      <rPr>
        <sz val="9"/>
        <color rgb="FF000000"/>
        <rFont val="맑은 고딕"/>
        <family val="0"/>
        <charset val="1"/>
      </rPr>
      <t xml:space="preserve">' </t>
    </r>
    <r>
      <rPr>
        <sz val="9"/>
        <color rgb="FF000000"/>
        <rFont val="WenQuanYi Zen Hei"/>
        <family val="2"/>
      </rPr>
      <t xml:space="preserve">표찰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잠금 여부</t>
    </r>
  </si>
  <si>
    <r>
      <rPr>
        <sz val="10"/>
        <color rgb="FF000000"/>
        <rFont val="WenQuanYi Zen Hei"/>
        <family val="2"/>
      </rPr>
      <t xml:space="preserve">코일 동파 위험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외기 도입 </t>
    </r>
    <r>
      <rPr>
        <sz val="10"/>
        <color rgb="FF000000"/>
        <rFont val="맑은 고딕"/>
        <family val="0"/>
        <charset val="1"/>
      </rPr>
      <t xml:space="preserve">AHU)</t>
    </r>
  </si>
  <si>
    <r>
      <rPr>
        <sz val="9"/>
        <color rgb="FF000000"/>
        <rFont val="WenQuanYi Zen Hei"/>
        <family val="2"/>
      </rPr>
      <t xml:space="preserve">동절기 스팀 차단 시 동파방지 서모스탯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최소개도 로직 확인</t>
    </r>
  </si>
  <si>
    <r>
      <rPr>
        <sz val="10"/>
        <color rgb="FF000000"/>
        <rFont val="맑은 고딕"/>
        <family val="0"/>
        <charset val="1"/>
      </rPr>
      <t xml:space="preserve">MV Fail </t>
    </r>
    <r>
      <rPr>
        <sz val="10"/>
        <color rgb="FF000000"/>
        <rFont val="WenQuanYi Zen Hei"/>
        <family val="2"/>
      </rPr>
      <t xml:space="preserve">위치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통신 장애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</si>
  <si>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NC </t>
    </r>
    <r>
      <rPr>
        <sz val="9"/>
        <color rgb="FF000000"/>
        <rFont val="WenQuanYi Zen Hei"/>
        <family val="2"/>
      </rPr>
      <t xml:space="preserve">권장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전원 차단 시험 시 닫힘 확인</t>
    </r>
  </si>
  <si>
    <t xml:space="preserve">히터 안전</t>
  </si>
  <si>
    <r>
      <rPr>
        <sz val="10"/>
        <color rgb="FF000000"/>
        <rFont val="WenQuanYi Zen Hei"/>
        <family val="2"/>
      </rPr>
      <t xml:space="preserve">풍량 인터록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차압스위치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팬 연동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</si>
  <si>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팬 정지 시 히터 즉시 </t>
    </r>
    <r>
      <rPr>
        <sz val="9"/>
        <color rgb="FF000000"/>
        <rFont val="맑은 고딕"/>
        <family val="0"/>
        <charset val="1"/>
      </rPr>
      <t xml:space="preserve">OFF </t>
    </r>
    <r>
      <rPr>
        <sz val="9"/>
        <color rgb="FF000000"/>
        <rFont val="WenQuanYi Zen Hei"/>
        <family val="2"/>
      </rPr>
      <t xml:space="preserve">확인</t>
    </r>
  </si>
  <si>
    <r>
      <rPr>
        <sz val="10"/>
        <color rgb="FF000000"/>
        <rFont val="WenQuanYi Zen Hei"/>
        <family val="2"/>
      </rPr>
      <t xml:space="preserve">과열 차단기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고온 리밋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동작</t>
    </r>
  </si>
  <si>
    <t xml:space="preserve">설정값 및 리셋 방식 확인</t>
  </si>
  <si>
    <r>
      <rPr>
        <sz val="10"/>
        <color rgb="FF000000"/>
        <rFont val="WenQuanYi Zen Hei"/>
        <family val="2"/>
      </rPr>
      <t xml:space="preserve">히터 </t>
    </r>
    <r>
      <rPr>
        <sz val="10"/>
        <color rgb="FF000000"/>
        <rFont val="맑은 고딕"/>
        <family val="0"/>
        <charset val="1"/>
      </rPr>
      <t xml:space="preserve">OFF </t>
    </r>
    <r>
      <rPr>
        <sz val="10"/>
        <color rgb="FF000000"/>
        <rFont val="WenQuanYi Zen Hei"/>
        <family val="2"/>
      </rPr>
      <t xml:space="preserve">후 팬 지연 정지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잔열 배출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</si>
  <si>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지연시간 기록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예</t>
    </r>
    <r>
      <rPr>
        <sz val="9"/>
        <color rgb="FF000000"/>
        <rFont val="맑은 고딕"/>
        <family val="0"/>
        <charset val="1"/>
      </rPr>
      <t xml:space="preserve">: 3~5</t>
    </r>
    <r>
      <rPr>
        <sz val="9"/>
        <color rgb="FF000000"/>
        <rFont val="WenQuanYi Zen Hei"/>
        <family val="2"/>
      </rPr>
      <t xml:space="preserve">분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</si>
  <si>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단별 히터 전류</t>
  </si>
  <si>
    <r>
      <rPr>
        <sz val="9"/>
        <color rgb="FF000000"/>
        <rFont val="WenQuanYi Zen Hei"/>
        <family val="2"/>
      </rPr>
      <t xml:space="preserve">클램프미터 측정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정격 대비 </t>
    </r>
    <r>
      <rPr>
        <sz val="9"/>
        <color rgb="FF000000"/>
        <rFont val="맑은 고딕"/>
        <family val="0"/>
        <charset val="1"/>
      </rPr>
      <t xml:space="preserve">±10%</t>
    </r>
  </si>
  <si>
    <t xml:space="preserve">보관소 환경</t>
  </si>
  <si>
    <r>
      <rPr>
        <sz val="10"/>
        <color rgb="FF000000"/>
        <rFont val="WenQuanYi Zen Hei"/>
        <family val="2"/>
      </rPr>
      <t xml:space="preserve">보관소 허용 온도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습도 범위</t>
    </r>
  </si>
  <si>
    <r>
      <rPr>
        <sz val="9"/>
        <color rgb="FF000000"/>
        <rFont val="WenQuanYi Zen Hei"/>
        <family val="2"/>
      </rPr>
      <t xml:space="preserve">관리기준 확인 후 </t>
    </r>
    <r>
      <rPr>
        <sz val="9"/>
        <color rgb="FF000000"/>
        <rFont val="맑은 고딕"/>
        <family val="0"/>
        <charset val="1"/>
      </rPr>
      <t xml:space="preserve">4·5 </t>
    </r>
    <r>
      <rPr>
        <sz val="9"/>
        <color rgb="FF000000"/>
        <rFont val="WenQuanYi Zen Hei"/>
        <family val="2"/>
      </rPr>
      <t xml:space="preserve">시트 허용값에 반영</t>
    </r>
  </si>
  <si>
    <t xml:space="preserve">급승온 시 상대습도 급락</t>
  </si>
  <si>
    <r>
      <rPr>
        <sz val="9"/>
        <color rgb="FF000000"/>
        <rFont val="WenQuanYi Zen Hei"/>
        <family val="2"/>
      </rPr>
      <t xml:space="preserve">트렌드에서 습도 변화 확인 — 온도 </t>
    </r>
    <r>
      <rPr>
        <sz val="9"/>
        <color rgb="FF000000"/>
        <rFont val="맑은 고딕"/>
        <family val="0"/>
        <charset val="1"/>
      </rPr>
      <t xml:space="preserve">1℃ </t>
    </r>
    <r>
      <rPr>
        <sz val="9"/>
        <color rgb="FF000000"/>
        <rFont val="WenQuanYi Zen Hei"/>
        <family val="2"/>
      </rPr>
      <t xml:space="preserve">상승 시 </t>
    </r>
    <r>
      <rPr>
        <sz val="9"/>
        <color rgb="FF000000"/>
        <rFont val="맑은 고딕"/>
        <family val="0"/>
        <charset val="1"/>
      </rPr>
      <t xml:space="preserve">RH </t>
    </r>
    <r>
      <rPr>
        <sz val="9"/>
        <color rgb="FF000000"/>
        <rFont val="WenQuanYi Zen Hei"/>
        <family val="2"/>
      </rPr>
      <t xml:space="preserve">약 </t>
    </r>
    <r>
      <rPr>
        <sz val="9"/>
        <color rgb="FF000000"/>
        <rFont val="맑은 고딕"/>
        <family val="0"/>
        <charset val="1"/>
      </rPr>
      <t xml:space="preserve">3~4% </t>
    </r>
    <r>
      <rPr>
        <sz val="9"/>
        <color rgb="FF000000"/>
        <rFont val="WenQuanYi Zen Hei"/>
        <family val="2"/>
      </rPr>
      <t xml:space="preserve">하락</t>
    </r>
  </si>
  <si>
    <t xml:space="preserve">스팀→전기 전환 시 결로 위험</t>
  </si>
  <si>
    <r>
      <rPr>
        <sz val="9"/>
        <color rgb="FF000000"/>
        <rFont val="WenQuanYi Zen Hei"/>
        <family val="2"/>
      </rPr>
      <t xml:space="preserve">급기 온도 급락 시 덕트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취출구 결로 확인</t>
    </r>
  </si>
  <si>
    <t xml:space="preserve">페일세이프</t>
  </si>
  <si>
    <t xml:space="preserve">스팀 공급 실패 시 전기 자동 복귀</t>
  </si>
  <si>
    <r>
      <rPr>
        <sz val="9"/>
        <color rgb="FF000000"/>
        <rFont val="맑은 고딕"/>
        <family val="0"/>
        <charset val="1"/>
      </rPr>
      <t xml:space="preserve">MV </t>
    </r>
    <r>
      <rPr>
        <sz val="9"/>
        <color rgb="FF000000"/>
        <rFont val="WenQuanYi Zen Hei"/>
        <family val="2"/>
      </rPr>
      <t xml:space="preserve">고개도인데 급기온도 미상승 지속 → 복귀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알람 동작 확인</t>
    </r>
  </si>
  <si>
    <r>
      <rPr>
        <sz val="10"/>
        <color rgb="FF000000"/>
        <rFont val="맑은 고딕"/>
        <family val="0"/>
        <charset val="1"/>
      </rPr>
      <t xml:space="preserve">Metasys </t>
    </r>
    <r>
      <rPr>
        <sz val="10"/>
        <color rgb="FF000000"/>
        <rFont val="WenQuanYi Zen Hei"/>
        <family val="2"/>
      </rPr>
      <t xml:space="preserve">통신 장애 시 동작</t>
    </r>
  </si>
  <si>
    <t xml:space="preserve">컨트롤러 단독 운전 시 모드 확인</t>
  </si>
  <si>
    <r>
      <rPr>
        <sz val="10"/>
        <color rgb="FF000000"/>
        <rFont val="맑은 고딕"/>
        <family val="0"/>
        <charset val="1"/>
      </rPr>
      <t xml:space="preserve">Alarm </t>
    </r>
    <r>
      <rPr>
        <sz val="10"/>
        <color rgb="FF000000"/>
        <rFont val="WenQuanYi Zen Hei"/>
        <family val="2"/>
      </rPr>
      <t xml:space="preserve">표시 시험</t>
    </r>
  </si>
  <si>
    <r>
      <rPr>
        <sz val="9"/>
        <color rgb="FF000000"/>
        <rFont val="WenQuanYi Zen Hei"/>
        <family val="2"/>
      </rPr>
      <t xml:space="preserve">고온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저온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전환실패 알람 발생 및 해제 확인</t>
    </r>
  </si>
  <si>
    <r>
      <rPr>
        <sz val="10"/>
        <color rgb="FF000000"/>
        <rFont val="WenQuanYi Zen Hei"/>
        <family val="2"/>
      </rPr>
      <t xml:space="preserve">시험 후 </t>
    </r>
    <r>
      <rPr>
        <sz val="10"/>
        <color rgb="FF000000"/>
        <rFont val="맑은 고딕"/>
        <family val="0"/>
        <charset val="1"/>
      </rPr>
      <t xml:space="preserve">Override </t>
    </r>
    <r>
      <rPr>
        <sz val="10"/>
        <color rgb="FF000000"/>
        <rFont val="WenQuanYi Zen Hei"/>
        <family val="2"/>
      </rPr>
      <t xml:space="preserve">전부 해제</t>
    </r>
  </si>
  <si>
    <r>
      <rPr>
        <sz val="9"/>
        <color rgb="FF000000"/>
        <rFont val="맑은 고딕"/>
        <family val="0"/>
        <charset val="1"/>
      </rPr>
      <t xml:space="preserve">SRC Override(</t>
    </r>
    <r>
      <rPr>
        <sz val="9"/>
        <color rgb="FF000000"/>
        <rFont val="WenQuanYi Zen Hei"/>
        <family val="2"/>
      </rPr>
      <t xml:space="preserve">주황</t>
    </r>
    <r>
      <rPr>
        <sz val="9"/>
        <color rgb="FF000000"/>
        <rFont val="맑은 고딕"/>
        <family val="0"/>
        <charset val="1"/>
      </rPr>
      <t xml:space="preserve">)→Enable(</t>
    </r>
    <r>
      <rPr>
        <sz val="9"/>
        <color rgb="FF000000"/>
        <rFont val="WenQuanYi Zen Hei"/>
        <family val="2"/>
      </rPr>
      <t xml:space="preserve">녹색</t>
    </r>
    <r>
      <rPr>
        <sz val="9"/>
        <color rgb="FF000000"/>
        <rFont val="맑은 고딕"/>
        <family val="0"/>
        <charset val="1"/>
      </rPr>
      <t xml:space="preserve">), MV </t>
    </r>
    <r>
      <rPr>
        <sz val="9"/>
        <color rgb="FF000000"/>
        <rFont val="WenQuanYi Zen Hei"/>
        <family val="2"/>
      </rPr>
      <t xml:space="preserve">수동지령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히터 강제 → 자동 원복 확인</t>
    </r>
  </si>
  <si>
    <t xml:space="preserve">에너지</t>
  </si>
  <si>
    <r>
      <rPr>
        <sz val="10"/>
        <color rgb="FF000000"/>
        <rFont val="WenQuanYi Zen Hei"/>
        <family val="2"/>
      </rPr>
      <t xml:space="preserve">전력량</t>
    </r>
    <r>
      <rPr>
        <sz val="10"/>
        <color rgb="FF000000"/>
        <rFont val="맑은 고딕"/>
        <family val="0"/>
        <charset val="1"/>
      </rPr>
      <t xml:space="preserve">(kWh) </t>
    </r>
    <r>
      <rPr>
        <sz val="10"/>
        <color rgb="FF000000"/>
        <rFont val="WenQuanYi Zen Hei"/>
        <family val="2"/>
      </rPr>
      <t xml:space="preserve">및 스팀 사용량 기록</t>
    </r>
  </si>
  <si>
    <r>
      <rPr>
        <sz val="9"/>
        <color rgb="FF000000"/>
        <rFont val="WenQuanYi Zen Hei"/>
        <family val="2"/>
      </rPr>
      <t xml:space="preserve">전환 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후 동일 조건 일간 사용량 비교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절감효과 검증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</si>
  <si>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집계</t>
  </si>
  <si>
    <r>
      <rPr>
        <b val="true"/>
        <sz val="14"/>
        <color rgb="FF000000"/>
        <rFont val="맑은 고딕"/>
        <family val="0"/>
        <charset val="1"/>
      </rPr>
      <t xml:space="preserve">7. Metasys </t>
    </r>
    <r>
      <rPr>
        <b val="true"/>
        <sz val="14"/>
        <color rgb="FF000000"/>
        <rFont val="WenQuanYi Zen Hei"/>
        <family val="2"/>
      </rPr>
      <t xml:space="preserve">전환 로직 개선 제안 파라메터</t>
    </r>
  </si>
  <si>
    <r>
      <rPr>
        <sz val="9"/>
        <color rgb="FF595959"/>
        <rFont val="WenQuanYi Zen Hei"/>
        <family val="2"/>
      </rPr>
      <t xml:space="preserve">제안 초기값은 일반적인 시작점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가정치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이며 실측 후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현장 결정값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에 확정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특히 </t>
    </r>
    <r>
      <rPr>
        <sz val="9"/>
        <color rgb="FF595959"/>
        <rFont val="맑은 고딕"/>
        <family val="0"/>
        <charset val="1"/>
      </rPr>
      <t xml:space="preserve">P04~P07</t>
    </r>
    <r>
      <rPr>
        <sz val="9"/>
        <color rgb="FF595959"/>
        <rFont val="WenQuanYi Zen Hei"/>
        <family val="2"/>
      </rPr>
      <t xml:space="preserve">은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밸브를 </t>
    </r>
    <r>
      <rPr>
        <sz val="9"/>
        <color rgb="FF595959"/>
        <rFont val="맑은 고딕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에서 천천히 여는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로직의 핵심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</si>
  <si>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9"/>
        <color rgb="FFFFFFFF"/>
        <rFont val="WenQuanYi Zen Hei"/>
        <family val="2"/>
      </rPr>
      <t xml:space="preserve">설명 </t>
    </r>
    <r>
      <rPr>
        <b val="true"/>
        <sz val="9"/>
        <color rgb="FFFFFFFF"/>
        <rFont val="맑은 고딕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목적</t>
    </r>
  </si>
  <si>
    <t xml:space="preserve">제안 초기값</t>
  </si>
  <si>
    <t xml:space="preserve">조정 범위</t>
  </si>
  <si>
    <t xml:space="preserve">현장 결정값</t>
  </si>
  <si>
    <t xml:space="preserve">근거 시트</t>
  </si>
  <si>
    <t xml:space="preserve">반영 여부</t>
  </si>
  <si>
    <t xml:space="preserve">P01</t>
  </si>
  <si>
    <r>
      <rPr>
        <sz val="10"/>
        <color rgb="FF000000"/>
        <rFont val="WenQuanYi Zen Hei"/>
        <family val="2"/>
      </rPr>
      <t xml:space="preserve">스팀 전환 압력 </t>
    </r>
    <r>
      <rPr>
        <sz val="10"/>
        <color rgb="FF000000"/>
        <rFont val="맑은 고딕"/>
        <family val="0"/>
        <charset val="1"/>
      </rPr>
      <t xml:space="preserve">SP</t>
    </r>
  </si>
  <si>
    <r>
      <rPr>
        <sz val="9"/>
        <color rgb="FF000000"/>
        <rFont val="WenQuanYi Zen Hei"/>
        <family val="2"/>
      </rPr>
      <t xml:space="preserve">헤더압력 ≥ </t>
    </r>
    <r>
      <rPr>
        <sz val="9"/>
        <color rgb="FF000000"/>
        <rFont val="맑은 고딕"/>
        <family val="0"/>
        <charset val="1"/>
      </rPr>
      <t xml:space="preserve">SP → </t>
    </r>
    <r>
      <rPr>
        <sz val="9"/>
        <color rgb="FF000000"/>
        <rFont val="WenQuanYi Zen Hei"/>
        <family val="2"/>
      </rPr>
      <t xml:space="preserve">스팀모드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일반 </t>
    </r>
    <r>
      <rPr>
        <sz val="9"/>
        <color rgb="FF000000"/>
        <rFont val="맑은 고딕"/>
        <family val="0"/>
        <charset val="1"/>
      </rPr>
      <t xml:space="preserve">10.0</t>
    </r>
    <r>
      <rPr>
        <sz val="9"/>
        <color rgb="FF000000"/>
        <rFont val="WenQuanYi Zen Hei"/>
        <family val="2"/>
      </rPr>
      <t xml:space="preserve">은 임시값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헤더 최고 약 </t>
    </r>
    <r>
      <rPr>
        <sz val="9"/>
        <color rgb="FF000000"/>
        <rFont val="맑은 고딕"/>
        <family val="0"/>
        <charset val="1"/>
      </rPr>
      <t xml:space="preserve">8 bar) → </t>
    </r>
    <r>
      <rPr>
        <sz val="9"/>
        <color rgb="FF000000"/>
        <rFont val="WenQuanYi Zen Hei"/>
        <family val="2"/>
      </rPr>
      <t xml:space="preserve">압력 프로파일로 결정</t>
    </r>
  </si>
  <si>
    <r>
      <rPr>
        <sz val="10"/>
        <color rgb="FF000000"/>
        <rFont val="맑은 고딕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미만</t>
    </r>
  </si>
  <si>
    <r>
      <rPr>
        <sz val="9"/>
        <color rgb="FF000000"/>
        <rFont val="맑은 고딕"/>
        <family val="0"/>
        <charset val="1"/>
      </rPr>
      <t xml:space="preserve">1_</t>
    </r>
    <r>
      <rPr>
        <sz val="9"/>
        <color rgb="FF000000"/>
        <rFont val="WenQuanYi Zen Hei"/>
        <family val="2"/>
      </rPr>
      <t xml:space="preserve">파라메터 </t>
    </r>
    <r>
      <rPr>
        <sz val="9"/>
        <color rgb="FF000000"/>
        <rFont val="맑은 고딕"/>
        <family val="0"/>
        <charset val="1"/>
      </rPr>
      <t xml:space="preserve">1-1</t>
    </r>
  </si>
  <si>
    <t xml:space="preserve">압력 히스테리시스</t>
  </si>
  <si>
    <r>
      <rPr>
        <sz val="9"/>
        <color rgb="FF000000"/>
        <rFont val="WenQuanYi Zen Hei"/>
        <family val="2"/>
      </rPr>
      <t xml:space="preserve">전기 복귀 압력 </t>
    </r>
    <r>
      <rPr>
        <sz val="9"/>
        <color rgb="FF000000"/>
        <rFont val="맑은 고딕"/>
        <family val="0"/>
        <charset val="1"/>
      </rPr>
      <t xml:space="preserve">= SP − </t>
    </r>
    <r>
      <rPr>
        <sz val="9"/>
        <color rgb="FF000000"/>
        <rFont val="WenQuanYi Zen Hei"/>
        <family val="2"/>
      </rPr>
      <t xml:space="preserve">히스테리시스</t>
    </r>
    <r>
      <rPr>
        <sz val="9"/>
        <color rgb="FF000000"/>
        <rFont val="맑은 고딕"/>
        <family val="0"/>
        <charset val="1"/>
      </rPr>
      <t xml:space="preserve">. SP </t>
    </r>
    <r>
      <rPr>
        <sz val="9"/>
        <color rgb="FF000000"/>
        <rFont val="WenQuanYi Zen Hei"/>
        <family val="2"/>
      </rPr>
      <t xml:space="preserve">부근 잦은 전환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헌팅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방지</t>
    </r>
  </si>
  <si>
    <t xml:space="preserve">0.5</t>
  </si>
  <si>
    <t xml:space="preserve">0.3~1.0</t>
  </si>
  <si>
    <r>
      <rPr>
        <sz val="9"/>
        <color rgb="FF000000"/>
        <rFont val="맑은 고딕"/>
        <family val="0"/>
        <charset val="1"/>
      </rPr>
      <t xml:space="preserve">6_</t>
    </r>
    <r>
      <rPr>
        <sz val="9"/>
        <color rgb="FF000000"/>
        <rFont val="WenQuanYi Zen Hei"/>
        <family val="2"/>
      </rPr>
      <t xml:space="preserve">체크 </t>
    </r>
    <r>
      <rPr>
        <sz val="9"/>
        <color rgb="FF000000"/>
        <rFont val="맑은 고딕"/>
        <family val="0"/>
        <charset val="1"/>
      </rPr>
      <t xml:space="preserve">#10</t>
    </r>
  </si>
  <si>
    <t xml:space="preserve">압력 확인 지연</t>
  </si>
  <si>
    <r>
      <rPr>
        <sz val="9"/>
        <color rgb="FF000000"/>
        <rFont val="맑은 고딕"/>
        <family val="0"/>
        <charset val="1"/>
      </rPr>
      <t xml:space="preserve">SP </t>
    </r>
    <r>
      <rPr>
        <sz val="9"/>
        <color rgb="FF000000"/>
        <rFont val="WenQuanYi Zen Hei"/>
        <family val="2"/>
      </rPr>
      <t xml:space="preserve">이상이 연속 유지되어야 전환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순간 압력 변동 무시</t>
    </r>
  </si>
  <si>
    <t xml:space="preserve">60</t>
  </si>
  <si>
    <t xml:space="preserve">30~180</t>
  </si>
  <si>
    <t xml:space="preserve">P04</t>
  </si>
  <si>
    <r>
      <rPr>
        <sz val="10"/>
        <color rgb="FF000000"/>
        <rFont val="맑은 고딕"/>
        <family val="0"/>
        <charset val="1"/>
      </rPr>
      <t xml:space="preserve">MV </t>
    </r>
    <r>
      <rPr>
        <sz val="10"/>
        <color rgb="FF000000"/>
        <rFont val="WenQuanYi Zen Hei"/>
        <family val="2"/>
      </rPr>
      <t xml:space="preserve">초기개도</t>
    </r>
  </si>
  <si>
    <r>
      <rPr>
        <sz val="9"/>
        <color rgb="FF000000"/>
        <rFont val="WenQuanYi Zen Hei"/>
        <family val="2"/>
      </rPr>
      <t xml:space="preserve">전환 시작 시 밸브 시작 개도</t>
    </r>
    <r>
      <rPr>
        <sz val="9"/>
        <color rgb="FF000000"/>
        <rFont val="맑은 고딕"/>
        <family val="0"/>
        <charset val="1"/>
      </rPr>
      <t xml:space="preserve">. 0%</t>
    </r>
    <r>
      <rPr>
        <sz val="9"/>
        <color rgb="FF000000"/>
        <rFont val="WenQuanYi Zen Hei"/>
        <family val="2"/>
      </rPr>
      <t xml:space="preserve">에서 시작하면 열도달이 늦고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높으면 급승온</t>
    </r>
  </si>
  <si>
    <t xml:space="preserve">10</t>
  </si>
  <si>
    <t xml:space="preserve">0~30</t>
  </si>
  <si>
    <r>
      <rPr>
        <sz val="9"/>
        <color rgb="FF000000"/>
        <rFont val="맑은 고딕"/>
        <family val="0"/>
        <charset val="1"/>
      </rPr>
      <t xml:space="preserve">5_</t>
    </r>
    <r>
      <rPr>
        <sz val="9"/>
        <color rgb="FF000000"/>
        <rFont val="WenQuanYi Zen Hei"/>
        <family val="2"/>
      </rPr>
      <t xml:space="preserve">매트릭스</t>
    </r>
  </si>
  <si>
    <r>
      <rPr>
        <sz val="10"/>
        <color rgb="FF000000"/>
        <rFont val="맑은 고딕"/>
        <family val="0"/>
        <charset val="1"/>
      </rPr>
      <t xml:space="preserve">MV </t>
    </r>
    <r>
      <rPr>
        <sz val="10"/>
        <color rgb="FF000000"/>
        <rFont val="WenQuanYi Zen Hei"/>
        <family val="2"/>
      </rPr>
      <t xml:space="preserve">램프율</t>
    </r>
  </si>
  <si>
    <t xml:space="preserve">초기개도에서 목표 개도까지 분당 증가량</t>
  </si>
  <si>
    <t xml:space="preserve">5</t>
  </si>
  <si>
    <t xml:space="preserve">2~10</t>
  </si>
  <si>
    <r>
      <rPr>
        <sz val="9"/>
        <color rgb="FF000000"/>
        <rFont val="맑은 고딕"/>
        <family val="0"/>
        <charset val="1"/>
      </rPr>
      <t xml:space="preserve">4_</t>
    </r>
    <r>
      <rPr>
        <sz val="9"/>
        <color rgb="FF000000"/>
        <rFont val="WenQuanYi Zen Hei"/>
        <family val="2"/>
      </rPr>
      <t xml:space="preserve">트렌드</t>
    </r>
  </si>
  <si>
    <r>
      <rPr>
        <sz val="9"/>
        <color rgb="FF000000"/>
        <rFont val="WenQuanYi Zen Hei"/>
        <family val="2"/>
      </rPr>
      <t xml:space="preserve">램프 구간 동안 개도 상한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전환 완료 후 </t>
    </r>
    <r>
      <rPr>
        <sz val="9"/>
        <color rgb="FF000000"/>
        <rFont val="맑은 고딕"/>
        <family val="0"/>
        <charset val="1"/>
      </rPr>
      <t xml:space="preserve">PID </t>
    </r>
    <r>
      <rPr>
        <sz val="9"/>
        <color rgb="FF000000"/>
        <rFont val="WenQuanYi Zen Hei"/>
        <family val="2"/>
      </rPr>
      <t xml:space="preserve">제어로 이관</t>
    </r>
  </si>
  <si>
    <t xml:space="preserve">50</t>
  </si>
  <si>
    <t xml:space="preserve">30~100</t>
  </si>
  <si>
    <t xml:space="preserve">P07</t>
  </si>
  <si>
    <r>
      <rPr>
        <sz val="10"/>
        <color rgb="FF000000"/>
        <rFont val="맑은 고딕"/>
        <family val="0"/>
        <charset val="1"/>
      </rPr>
      <t xml:space="preserve">PID </t>
    </r>
    <r>
      <rPr>
        <sz val="10"/>
        <color rgb="FF000000"/>
        <rFont val="WenQuanYi Zen Hei"/>
        <family val="2"/>
      </rPr>
      <t xml:space="preserve">이관 조건</t>
    </r>
  </si>
  <si>
    <r>
      <rPr>
        <sz val="9"/>
        <color rgb="FF000000"/>
        <rFont val="WenQuanYi Zen Hei"/>
        <family val="2"/>
      </rPr>
      <t xml:space="preserve">급기온도가 </t>
    </r>
    <r>
      <rPr>
        <sz val="9"/>
        <color rgb="FF000000"/>
        <rFont val="맑은 고딕"/>
        <family val="0"/>
        <charset val="1"/>
      </rPr>
      <t xml:space="preserve">SP − Diff </t>
    </r>
    <r>
      <rPr>
        <sz val="9"/>
        <color rgb="FF000000"/>
        <rFont val="WenQuanYi Zen Hei"/>
        <family val="2"/>
      </rPr>
      <t xml:space="preserve">도달 또는 램프 완료 시 </t>
    </r>
    <r>
      <rPr>
        <sz val="9"/>
        <color rgb="FF000000"/>
        <rFont val="맑은 고딕"/>
        <family val="0"/>
        <charset val="1"/>
      </rPr>
      <t xml:space="preserve">PID </t>
    </r>
    <r>
      <rPr>
        <sz val="9"/>
        <color rgb="FF000000"/>
        <rFont val="WenQuanYi Zen Hei"/>
        <family val="2"/>
      </rPr>
      <t xml:space="preserve">제어 시작 </t>
    </r>
    <r>
      <rPr>
        <sz val="9"/>
        <color rgb="FF000000"/>
        <rFont val="맑은 고딕"/>
        <family val="0"/>
        <charset val="1"/>
      </rPr>
      <t xml:space="preserve">(Bumpless)</t>
    </r>
  </si>
  <si>
    <t xml:space="preserve">SP−Diff</t>
  </si>
  <si>
    <r>
      <rPr>
        <sz val="9"/>
        <color rgb="FF000000"/>
        <rFont val="WenQuanYi Zen Hei"/>
        <family val="2"/>
      </rPr>
      <t xml:space="preserve">스팀 열도달</t>
    </r>
    <r>
      <rPr>
        <sz val="9"/>
        <color rgb="FF000000"/>
        <rFont val="맑은 고딕"/>
        <family val="0"/>
        <charset val="1"/>
      </rPr>
      <t xml:space="preserve">(T4) </t>
    </r>
    <r>
      <rPr>
        <sz val="9"/>
        <color rgb="FF000000"/>
        <rFont val="WenQuanYi Zen Hei"/>
        <family val="2"/>
      </rPr>
      <t xml:space="preserve">확인 후 히터를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단씩 순차 </t>
    </r>
    <r>
      <rPr>
        <sz val="9"/>
        <color rgb="FF000000"/>
        <rFont val="맑은 고딕"/>
        <family val="0"/>
        <charset val="1"/>
      </rPr>
      <t xml:space="preserve">OFF — </t>
    </r>
    <r>
      <rPr>
        <sz val="9"/>
        <color rgb="FF000000"/>
        <rFont val="WenQuanYi Zen Hei"/>
        <family val="2"/>
      </rPr>
      <t xml:space="preserve">급기온도 급락 방지</t>
    </r>
  </si>
  <si>
    <t xml:space="preserve">30</t>
  </si>
  <si>
    <t xml:space="preserve">10~120</t>
  </si>
  <si>
    <r>
      <rPr>
        <sz val="9"/>
        <color rgb="FF000000"/>
        <rFont val="맑은 고딕"/>
        <family val="0"/>
        <charset val="1"/>
      </rPr>
      <t xml:space="preserve">3_</t>
    </r>
    <r>
      <rPr>
        <sz val="9"/>
        <color rgb="FF000000"/>
        <rFont val="WenQuanYi Zen Hei"/>
        <family val="2"/>
      </rPr>
      <t xml:space="preserve">전환 </t>
    </r>
    <r>
      <rPr>
        <sz val="9"/>
        <color rgb="FF000000"/>
        <rFont val="맑은 고딕"/>
        <family val="0"/>
        <charset val="1"/>
      </rPr>
      <t xml:space="preserve">A</t>
    </r>
  </si>
  <si>
    <t xml:space="preserve">P09</t>
  </si>
  <si>
    <r>
      <rPr>
        <sz val="10"/>
        <color rgb="FF000000"/>
        <rFont val="맑은 고딕"/>
        <family val="0"/>
        <charset val="1"/>
      </rPr>
      <t xml:space="preserve">Time Delay (</t>
    </r>
    <r>
      <rPr>
        <sz val="10"/>
        <color rgb="FF000000"/>
        <rFont val="WenQuanYi Zen Hei"/>
        <family val="2"/>
      </rPr>
      <t xml:space="preserve">열도달 대기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</si>
  <si>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전환신호 후 히터 </t>
    </r>
    <r>
      <rPr>
        <sz val="9"/>
        <color rgb="FF000000"/>
        <rFont val="맑은 고딕"/>
        <family val="0"/>
        <charset val="1"/>
      </rPr>
      <t xml:space="preserve">OFF </t>
    </r>
    <r>
      <rPr>
        <sz val="9"/>
        <color rgb="FF000000"/>
        <rFont val="WenQuanYi Zen Hei"/>
        <family val="2"/>
      </rPr>
      <t xml:space="preserve">시작까지 대기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실측 스팀 총응답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WenQuanYi Zen Hei"/>
        <family val="2"/>
      </rPr>
      <t xml:space="preserve">여유</t>
    </r>
  </si>
  <si>
    <t xml:space="preserve">실측</t>
  </si>
  <si>
    <r>
      <rPr>
        <sz val="9"/>
        <color rgb="FF000000"/>
        <rFont val="맑은 고딕"/>
        <family val="0"/>
        <charset val="1"/>
      </rPr>
      <t xml:space="preserve">3_</t>
    </r>
    <r>
      <rPr>
        <sz val="9"/>
        <color rgb="FF000000"/>
        <rFont val="WenQuanYi Zen Hei"/>
        <family val="2"/>
      </rPr>
      <t xml:space="preserve">전환 </t>
    </r>
    <r>
      <rPr>
        <sz val="9"/>
        <color rgb="FF000000"/>
        <rFont val="맑은 고딕"/>
        <family val="0"/>
        <charset val="1"/>
      </rPr>
      <t xml:space="preserve">A / 8_</t>
    </r>
    <r>
      <rPr>
        <sz val="9"/>
        <color rgb="FF000000"/>
        <rFont val="WenQuanYi Zen Hei"/>
        <family val="2"/>
      </rPr>
      <t xml:space="preserve">최종</t>
    </r>
  </si>
  <si>
    <t xml:space="preserve">전환 후 이 시간 동안 반대 모드 전환 금지</t>
  </si>
  <si>
    <t xml:space="preserve">5~30</t>
  </si>
  <si>
    <r>
      <rPr>
        <sz val="9"/>
        <color rgb="FF000000"/>
        <rFont val="맑은 고딕"/>
        <family val="0"/>
        <charset val="1"/>
      </rPr>
      <t xml:space="preserve">6_</t>
    </r>
    <r>
      <rPr>
        <sz val="9"/>
        <color rgb="FF000000"/>
        <rFont val="WenQuanYi Zen Hei"/>
        <family val="2"/>
      </rPr>
      <t xml:space="preserve">체크 </t>
    </r>
    <r>
      <rPr>
        <sz val="9"/>
        <color rgb="FF000000"/>
        <rFont val="맑은 고딕"/>
        <family val="0"/>
        <charset val="1"/>
      </rPr>
      <t xml:space="preserve">#13</t>
    </r>
  </si>
  <si>
    <r>
      <rPr>
        <sz val="9"/>
        <color rgb="FF000000"/>
        <rFont val="WenQuanYi Zen Hei"/>
        <family val="2"/>
      </rPr>
      <t xml:space="preserve">동일 헤더 공유 </t>
    </r>
    <r>
      <rPr>
        <sz val="9"/>
        <color rgb="FF000000"/>
        <rFont val="맑은 고딕"/>
        <family val="0"/>
        <charset val="1"/>
      </rPr>
      <t xml:space="preserve">AHU</t>
    </r>
    <r>
      <rPr>
        <sz val="9"/>
        <color rgb="FF000000"/>
        <rFont val="WenQuanYi Zen Hei"/>
        <family val="2"/>
      </rPr>
      <t xml:space="preserve">를 시간차로 전환 — 헤더압력 급강하 방지</t>
    </r>
  </si>
  <si>
    <t xml:space="preserve">120</t>
  </si>
  <si>
    <t xml:space="preserve">60~300</t>
  </si>
  <si>
    <r>
      <rPr>
        <sz val="9"/>
        <color rgb="FF000000"/>
        <rFont val="맑은 고딕"/>
        <family val="0"/>
        <charset val="1"/>
      </rPr>
      <t xml:space="preserve">6_</t>
    </r>
    <r>
      <rPr>
        <sz val="9"/>
        <color rgb="FF000000"/>
        <rFont val="WenQuanYi Zen Hei"/>
        <family val="2"/>
      </rPr>
      <t xml:space="preserve">체크 </t>
    </r>
    <r>
      <rPr>
        <sz val="9"/>
        <color rgb="FF000000"/>
        <rFont val="맑은 고딕"/>
        <family val="0"/>
        <charset val="1"/>
      </rPr>
      <t xml:space="preserve">#11</t>
    </r>
  </si>
  <si>
    <t xml:space="preserve">스팀 실패 판정</t>
  </si>
  <si>
    <r>
      <rPr>
        <sz val="9"/>
        <color rgb="FF000000"/>
        <rFont val="맑은 고딕"/>
        <family val="0"/>
        <charset val="1"/>
      </rPr>
      <t xml:space="preserve">MV ≥ 80% </t>
    </r>
    <r>
      <rPr>
        <sz val="9"/>
        <color rgb="FF000000"/>
        <rFont val="WenQuanYi Zen Hei"/>
        <family val="2"/>
      </rPr>
      <t xml:space="preserve">인데 급기온도 </t>
    </r>
    <r>
      <rPr>
        <sz val="9"/>
        <color rgb="FF000000"/>
        <rFont val="맑은 고딕"/>
        <family val="0"/>
        <charset val="1"/>
      </rPr>
      <t xml:space="preserve">&lt; SP−2℃ </t>
    </r>
    <r>
      <rPr>
        <sz val="9"/>
        <color rgb="FF000000"/>
        <rFont val="WenQuanYi Zen Hei"/>
        <family val="2"/>
      </rPr>
      <t xml:space="preserve">가 </t>
    </r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WenQuanYi Zen Hei"/>
        <family val="2"/>
      </rPr>
      <t xml:space="preserve">분 지속 → 전기 복귀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WenQuanYi Zen Hei"/>
        <family val="2"/>
      </rPr>
      <t xml:space="preserve">알람</t>
    </r>
  </si>
  <si>
    <r>
      <rPr>
        <sz val="10"/>
        <color rgb="FF000000"/>
        <rFont val="맑은 고딕"/>
        <family val="0"/>
        <charset val="1"/>
      </rPr>
      <t xml:space="preserve">80%/2℃/5</t>
    </r>
    <r>
      <rPr>
        <sz val="10"/>
        <color rgb="FF000000"/>
        <rFont val="WenQuanYi Zen Hei"/>
        <family val="2"/>
      </rPr>
      <t xml:space="preserve">분</t>
    </r>
  </si>
  <si>
    <r>
      <rPr>
        <sz val="9"/>
        <color rgb="FF000000"/>
        <rFont val="맑은 고딕"/>
        <family val="0"/>
        <charset val="1"/>
      </rPr>
      <t xml:space="preserve">6_</t>
    </r>
    <r>
      <rPr>
        <sz val="9"/>
        <color rgb="FF000000"/>
        <rFont val="WenQuanYi Zen Hei"/>
        <family val="2"/>
      </rPr>
      <t xml:space="preserve">체크 </t>
    </r>
    <r>
      <rPr>
        <sz val="9"/>
        <color rgb="FF000000"/>
        <rFont val="맑은 고딕"/>
        <family val="0"/>
        <charset val="1"/>
      </rPr>
      <t xml:space="preserve">#30</t>
    </r>
  </si>
  <si>
    <t xml:space="preserve">P13</t>
  </si>
  <si>
    <t xml:space="preserve">급기온도 상한 차단</t>
  </si>
  <si>
    <r>
      <rPr>
        <sz val="9"/>
        <color rgb="FF000000"/>
        <rFont val="WenQuanYi Zen Hei"/>
        <family val="2"/>
      </rPr>
      <t xml:space="preserve">급기온도 </t>
    </r>
    <r>
      <rPr>
        <sz val="9"/>
        <color rgb="FF000000"/>
        <rFont val="맑은 고딕"/>
        <family val="0"/>
        <charset val="1"/>
      </rPr>
      <t xml:space="preserve">&gt; SP + 3℃ → MV </t>
    </r>
    <r>
      <rPr>
        <sz val="9"/>
        <color rgb="FF000000"/>
        <rFont val="WenQuanYi Zen Hei"/>
        <family val="2"/>
      </rPr>
      <t xml:space="preserve">강제 축소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닫힘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보관소 보호</t>
    </r>
    <r>
      <rPr>
        <sz val="9"/>
        <color rgb="FF000000"/>
        <rFont val="맑은 고딕"/>
        <family val="0"/>
        <charset val="1"/>
      </rPr>
      <t xml:space="preserve">)</t>
    </r>
  </si>
  <si>
    <t xml:space="preserve">SP+3</t>
  </si>
  <si>
    <t xml:space="preserve">SP+2~5</t>
  </si>
  <si>
    <r>
      <rPr>
        <sz val="9"/>
        <color rgb="FF000000"/>
        <rFont val="WenQuanYi Zen Hei"/>
        <family val="2"/>
      </rPr>
      <t xml:space="preserve">상승률 초과 시 램프 일시정지</t>
    </r>
    <r>
      <rPr>
        <sz val="9"/>
        <color rgb="FF000000"/>
        <rFont val="맑은 고딕"/>
        <family val="0"/>
        <charset val="1"/>
      </rPr>
      <t xml:space="preserve">(Hold)</t>
    </r>
  </si>
  <si>
    <t xml:space="preserve">0.2~1.0</t>
  </si>
  <si>
    <r>
      <rPr>
        <sz val="9"/>
        <color rgb="FF000000"/>
        <rFont val="맑은 고딕"/>
        <family val="0"/>
        <charset val="1"/>
      </rPr>
      <t xml:space="preserve">4·5 </t>
    </r>
    <r>
      <rPr>
        <sz val="9"/>
        <color rgb="FF000000"/>
        <rFont val="WenQuanYi Zen Hei"/>
        <family val="2"/>
      </rPr>
      <t xml:space="preserve">시트</t>
    </r>
  </si>
  <si>
    <t xml:space="preserve">P15</t>
  </si>
  <si>
    <t xml:space="preserve">스팀→전기 중첩시간</t>
  </si>
  <si>
    <r>
      <rPr>
        <sz val="9"/>
        <color rgb="FF000000"/>
        <rFont val="WenQuanYi Zen Hei"/>
        <family val="2"/>
      </rPr>
      <t xml:space="preserve">히터 </t>
    </r>
    <r>
      <rPr>
        <sz val="9"/>
        <color rgb="FF000000"/>
        <rFont val="맑은 고딕"/>
        <family val="0"/>
        <charset val="1"/>
      </rPr>
      <t xml:space="preserve">ON </t>
    </r>
    <r>
      <rPr>
        <sz val="9"/>
        <color rgb="FF000000"/>
        <rFont val="WenQuanYi Zen Hei"/>
        <family val="2"/>
      </rPr>
      <t xml:space="preserve">확인 후 </t>
    </r>
    <r>
      <rPr>
        <sz val="9"/>
        <color rgb="FF000000"/>
        <rFont val="맑은 고딕"/>
        <family val="0"/>
        <charset val="1"/>
      </rPr>
      <t xml:space="preserve">MV </t>
    </r>
    <r>
      <rPr>
        <sz val="9"/>
        <color rgb="FF000000"/>
        <rFont val="WenQuanYi Zen Hei"/>
        <family val="2"/>
      </rPr>
      <t xml:space="preserve">닫힘 지령까지 대기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급락 방지 </t>
    </r>
    <r>
      <rPr>
        <sz val="9"/>
        <color rgb="FF000000"/>
        <rFont val="맑은 고딕"/>
        <family val="0"/>
        <charset val="1"/>
      </rPr>
      <t xml:space="preserve">vs </t>
    </r>
    <r>
      <rPr>
        <sz val="9"/>
        <color rgb="FF000000"/>
        <rFont val="WenQuanYi Zen Hei"/>
        <family val="2"/>
      </rPr>
      <t xml:space="preserve">오버슈트</t>
    </r>
    <r>
      <rPr>
        <sz val="9"/>
        <color rgb="FF000000"/>
        <rFont val="맑은 고딕"/>
        <family val="0"/>
        <charset val="1"/>
      </rPr>
      <t xml:space="preserve">)</t>
    </r>
  </si>
  <si>
    <t xml:space="preserve">0~120</t>
  </si>
  <si>
    <r>
      <rPr>
        <sz val="9"/>
        <color rgb="FF000000"/>
        <rFont val="맑은 고딕"/>
        <family val="0"/>
        <charset val="1"/>
      </rPr>
      <t xml:space="preserve">3_</t>
    </r>
    <r>
      <rPr>
        <sz val="9"/>
        <color rgb="FF000000"/>
        <rFont val="WenQuanYi Zen Hei"/>
        <family val="2"/>
      </rPr>
      <t xml:space="preserve">전환 </t>
    </r>
    <r>
      <rPr>
        <sz val="9"/>
        <color rgb="FF000000"/>
        <rFont val="맑은 고딕"/>
        <family val="0"/>
        <charset val="1"/>
      </rPr>
      <t xml:space="preserve">B</t>
    </r>
  </si>
  <si>
    <t xml:space="preserve">P16</t>
  </si>
  <si>
    <r>
      <rPr>
        <sz val="10"/>
        <color rgb="FF000000"/>
        <rFont val="맑은 고딕"/>
        <family val="0"/>
        <charset val="1"/>
      </rPr>
      <t xml:space="preserve">MV </t>
    </r>
    <r>
      <rPr>
        <sz val="10"/>
        <color rgb="FF000000"/>
        <rFont val="WenQuanYi Zen Hei"/>
        <family val="2"/>
      </rPr>
      <t xml:space="preserve">닫힘 램프</t>
    </r>
  </si>
  <si>
    <r>
      <rPr>
        <sz val="9"/>
        <color rgb="FF000000"/>
        <rFont val="WenQuanYi Zen Hei"/>
        <family val="2"/>
      </rPr>
      <t xml:space="preserve">스팀→전기 시 </t>
    </r>
    <r>
      <rPr>
        <sz val="9"/>
        <color rgb="FF000000"/>
        <rFont val="맑은 고딕"/>
        <family val="0"/>
        <charset val="1"/>
      </rPr>
      <t xml:space="preserve">MV</t>
    </r>
    <r>
      <rPr>
        <sz val="9"/>
        <color rgb="FF000000"/>
        <rFont val="WenQuanYi Zen Hei"/>
        <family val="2"/>
      </rPr>
      <t xml:space="preserve">를 일정 속도로 닫음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히터 단계 </t>
    </r>
    <r>
      <rPr>
        <sz val="9"/>
        <color rgb="FF000000"/>
        <rFont val="맑은 고딕"/>
        <family val="0"/>
        <charset val="1"/>
      </rPr>
      <t xml:space="preserve">ON</t>
    </r>
    <r>
      <rPr>
        <sz val="9"/>
        <color rgb="FF000000"/>
        <rFont val="WenQuanYi Zen Hei"/>
        <family val="2"/>
      </rPr>
      <t xml:space="preserve">과 연동</t>
    </r>
    <r>
      <rPr>
        <sz val="9"/>
        <color rgb="FF000000"/>
        <rFont val="맑은 고딕"/>
        <family val="0"/>
        <charset val="1"/>
      </rPr>
      <t xml:space="preserve">)</t>
    </r>
  </si>
  <si>
    <t xml:space="preserve">5~100</t>
  </si>
  <si>
    <t xml:space="preserve">P17</t>
  </si>
  <si>
    <t xml:space="preserve">동절기 동파 보호</t>
  </si>
  <si>
    <r>
      <rPr>
        <sz val="9"/>
        <color rgb="FF000000"/>
        <rFont val="WenQuanYi Zen Hei"/>
        <family val="2"/>
      </rPr>
      <t xml:space="preserve">외기 </t>
    </r>
    <r>
      <rPr>
        <sz val="9"/>
        <color rgb="FF000000"/>
        <rFont val="맑은 고딕"/>
        <family val="0"/>
        <charset val="1"/>
      </rPr>
      <t xml:space="preserve">&lt; </t>
    </r>
    <r>
      <rPr>
        <sz val="9"/>
        <color rgb="FF000000"/>
        <rFont val="WenQuanYi Zen Hei"/>
        <family val="2"/>
      </rPr>
      <t xml:space="preserve">설정 시 코일 최소개도 또는 동파방지 서모스탯 연동</t>
    </r>
  </si>
  <si>
    <r>
      <rPr>
        <sz val="10"/>
        <color rgb="FF000000"/>
        <rFont val="WenQuanYi Zen Hei"/>
        <family val="2"/>
      </rPr>
      <t xml:space="preserve">외기 </t>
    </r>
    <r>
      <rPr>
        <sz val="10"/>
        <color rgb="FF000000"/>
        <rFont val="맑은 고딕"/>
        <family val="0"/>
        <charset val="1"/>
      </rPr>
      <t xml:space="preserve">3℃</t>
    </r>
  </si>
  <si>
    <r>
      <rPr>
        <sz val="9"/>
        <color rgb="FF000000"/>
        <rFont val="맑은 고딕"/>
        <family val="0"/>
        <charset val="1"/>
      </rPr>
      <t xml:space="preserve">6_</t>
    </r>
    <r>
      <rPr>
        <sz val="9"/>
        <color rgb="FF000000"/>
        <rFont val="WenQuanYi Zen Hei"/>
        <family val="2"/>
      </rPr>
      <t xml:space="preserve">체크 </t>
    </r>
    <r>
      <rPr>
        <sz val="9"/>
        <color rgb="FF000000"/>
        <rFont val="맑은 고딕"/>
        <family val="0"/>
        <charset val="1"/>
      </rPr>
      <t xml:space="preserve">#21</t>
    </r>
  </si>
  <si>
    <t xml:space="preserve">■ 제안 전환 시퀀스</t>
  </si>
  <si>
    <r>
      <rPr>
        <sz val="9"/>
        <color rgb="FF000000"/>
        <rFont val="맑은 고딕"/>
        <family val="0"/>
        <charset val="1"/>
      </rPr>
      <t xml:space="preserve">[</t>
    </r>
    <r>
      <rPr>
        <sz val="9"/>
        <color rgb="FF000000"/>
        <rFont val="WenQuanYi Zen Hei"/>
        <family val="2"/>
      </rPr>
      <t xml:space="preserve">전기→스팀</t>
    </r>
    <r>
      <rPr>
        <sz val="9"/>
        <color rgb="FF000000"/>
        <rFont val="맑은 고딕"/>
        <family val="0"/>
        <charset val="1"/>
      </rPr>
      <t xml:space="preserve">]  </t>
    </r>
    <r>
      <rPr>
        <sz val="9"/>
        <color rgb="FF000000"/>
        <rFont val="WenQuanYi Zen Hei"/>
        <family val="2"/>
      </rPr>
      <t xml:space="preserve">압력 ≥ </t>
    </r>
    <r>
      <rPr>
        <sz val="9"/>
        <color rgb="FF000000"/>
        <rFont val="맑은 고딕"/>
        <family val="0"/>
        <charset val="1"/>
      </rPr>
      <t xml:space="preserve">P01 </t>
    </r>
    <r>
      <rPr>
        <sz val="9"/>
        <color rgb="FF000000"/>
        <rFont val="WenQuanYi Zen Hei"/>
        <family val="2"/>
      </rPr>
      <t xml:space="preserve">이 </t>
    </r>
    <r>
      <rPr>
        <sz val="9"/>
        <color rgb="FF000000"/>
        <rFont val="맑은 고딕"/>
        <family val="0"/>
        <charset val="1"/>
      </rPr>
      <t xml:space="preserve">P03 </t>
    </r>
    <r>
      <rPr>
        <sz val="9"/>
        <color rgb="FF000000"/>
        <rFont val="WenQuanYi Zen Hei"/>
        <family val="2"/>
      </rPr>
      <t xml:space="preserve">동안 유지 →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순차간격 </t>
    </r>
    <r>
      <rPr>
        <sz val="9"/>
        <color rgb="FF000000"/>
        <rFont val="맑은 고딕"/>
        <family val="0"/>
        <charset val="1"/>
      </rPr>
      <t xml:space="preserve">P11 </t>
    </r>
    <r>
      <rPr>
        <sz val="9"/>
        <color rgb="FF000000"/>
        <rFont val="WenQuanYi Zen Hei"/>
        <family val="2"/>
      </rPr>
      <t xml:space="preserve">대기</t>
    </r>
    <r>
      <rPr>
        <sz val="9"/>
        <color rgb="FF000000"/>
        <rFont val="맑은 고딕"/>
        <family val="0"/>
        <charset val="1"/>
      </rPr>
      <t xml:space="preserve">) → MV P04 </t>
    </r>
    <r>
      <rPr>
        <sz val="9"/>
        <color rgb="FF000000"/>
        <rFont val="WenQuanYi Zen Hei"/>
        <family val="2"/>
      </rPr>
      <t xml:space="preserve">개도 → </t>
    </r>
    <r>
      <rPr>
        <sz val="9"/>
        <color rgb="FF000000"/>
        <rFont val="맑은 고딕"/>
        <family val="0"/>
        <charset val="1"/>
      </rPr>
      <t xml:space="preserve">P05 </t>
    </r>
    <r>
      <rPr>
        <sz val="9"/>
        <color rgb="FF000000"/>
        <rFont val="WenQuanYi Zen Hei"/>
        <family val="2"/>
      </rPr>
      <t xml:space="preserve">램프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상한 </t>
    </r>
    <r>
      <rPr>
        <sz val="9"/>
        <color rgb="FF000000"/>
        <rFont val="맑은 고딕"/>
        <family val="0"/>
        <charset val="1"/>
      </rPr>
      <t xml:space="preserve">P06, </t>
    </r>
    <r>
      <rPr>
        <sz val="9"/>
        <color rgb="FF000000"/>
        <rFont val="WenQuanYi Zen Hei"/>
        <family val="2"/>
      </rPr>
      <t xml:space="preserve">상승률 </t>
    </r>
    <r>
      <rPr>
        <sz val="9"/>
        <color rgb="FF000000"/>
        <rFont val="맑은 고딕"/>
        <family val="0"/>
        <charset val="1"/>
      </rPr>
      <t xml:space="preserve">P14 </t>
    </r>
    <r>
      <rPr>
        <sz val="9"/>
        <color rgb="FF000000"/>
        <rFont val="WenQuanYi Zen Hei"/>
        <family val="2"/>
      </rPr>
      <t xml:space="preserve">초과 시 </t>
    </r>
    <r>
      <rPr>
        <sz val="9"/>
        <color rgb="FF000000"/>
        <rFont val="맑은 고딕"/>
        <family val="0"/>
        <charset val="1"/>
      </rPr>
      <t xml:space="preserve">Hold) → </t>
    </r>
    <r>
      <rPr>
        <sz val="9"/>
        <color rgb="FF000000"/>
        <rFont val="WenQuanYi Zen Hei"/>
        <family val="2"/>
      </rPr>
      <t xml:space="preserve">급기온도 상승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열도달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확인 또는 </t>
    </r>
    <r>
      <rPr>
        <sz val="9"/>
        <color rgb="FF000000"/>
        <rFont val="맑은 고딕"/>
        <family val="0"/>
        <charset val="1"/>
      </rPr>
      <t xml:space="preserve">P09 </t>
    </r>
    <r>
      <rPr>
        <sz val="9"/>
        <color rgb="FF000000"/>
        <rFont val="WenQuanYi Zen Hei"/>
        <family val="2"/>
      </rPr>
      <t xml:space="preserve">경과 → 히터 </t>
    </r>
    <r>
      <rPr>
        <sz val="9"/>
        <color rgb="FF000000"/>
        <rFont val="맑은 고딕"/>
        <family val="0"/>
        <charset val="1"/>
      </rPr>
      <t xml:space="preserve">P08 </t>
    </r>
    <r>
      <rPr>
        <sz val="9"/>
        <color rgb="FF000000"/>
        <rFont val="WenQuanYi Zen Hei"/>
        <family val="2"/>
      </rPr>
      <t xml:space="preserve">간격으로 단계 </t>
    </r>
    <r>
      <rPr>
        <sz val="9"/>
        <color rgb="FF000000"/>
        <rFont val="맑은 고딕"/>
        <family val="0"/>
        <charset val="1"/>
      </rPr>
      <t xml:space="preserve">OFF → P07 </t>
    </r>
    <r>
      <rPr>
        <sz val="9"/>
        <color rgb="FF000000"/>
        <rFont val="WenQuanYi Zen Hei"/>
        <family val="2"/>
      </rPr>
      <t xml:space="preserve">조건 시 </t>
    </r>
    <r>
      <rPr>
        <sz val="9"/>
        <color rgb="FF000000"/>
        <rFont val="맑은 고딕"/>
        <family val="0"/>
        <charset val="1"/>
      </rPr>
      <t xml:space="preserve">PID </t>
    </r>
    <r>
      <rPr>
        <sz val="9"/>
        <color rgb="FF000000"/>
        <rFont val="WenQuanYi Zen Hei"/>
        <family val="2"/>
      </rPr>
      <t xml:space="preserve">이관</t>
    </r>
  </si>
  <si>
    <r>
      <rPr>
        <sz val="9"/>
        <color rgb="FF000000"/>
        <rFont val="맑은 고딕"/>
        <family val="0"/>
        <charset val="1"/>
      </rPr>
      <t xml:space="preserve">[</t>
    </r>
    <r>
      <rPr>
        <sz val="9"/>
        <color rgb="FF000000"/>
        <rFont val="WenQuanYi Zen Hei"/>
        <family val="2"/>
      </rPr>
      <t xml:space="preserve">스팀→전기</t>
    </r>
    <r>
      <rPr>
        <sz val="9"/>
        <color rgb="FF000000"/>
        <rFont val="맑은 고딕"/>
        <family val="0"/>
        <charset val="1"/>
      </rPr>
      <t xml:space="preserve">]  </t>
    </r>
    <r>
      <rPr>
        <sz val="9"/>
        <color rgb="FF000000"/>
        <rFont val="WenQuanYi Zen Hei"/>
        <family val="2"/>
      </rPr>
      <t xml:space="preserve">압력 </t>
    </r>
    <r>
      <rPr>
        <sz val="9"/>
        <color rgb="FF000000"/>
        <rFont val="맑은 고딕"/>
        <family val="0"/>
        <charset val="1"/>
      </rPr>
      <t xml:space="preserve">&lt; P01 − P02 → </t>
    </r>
    <r>
      <rPr>
        <sz val="9"/>
        <color rgb="FF000000"/>
        <rFont val="WenQuanYi Zen Hei"/>
        <family val="2"/>
      </rPr>
      <t xml:space="preserve">히터 단계 </t>
    </r>
    <r>
      <rPr>
        <sz val="9"/>
        <color rgb="FF000000"/>
        <rFont val="맑은 고딕"/>
        <family val="0"/>
        <charset val="1"/>
      </rPr>
      <t xml:space="preserve">ON → P15 </t>
    </r>
    <r>
      <rPr>
        <sz val="9"/>
        <color rgb="FF000000"/>
        <rFont val="WenQuanYi Zen Hei"/>
        <family val="2"/>
      </rPr>
      <t xml:space="preserve">대기 → </t>
    </r>
    <r>
      <rPr>
        <sz val="9"/>
        <color rgb="FF000000"/>
        <rFont val="맑은 고딕"/>
        <family val="0"/>
        <charset val="1"/>
      </rPr>
      <t xml:space="preserve">MV P16 </t>
    </r>
    <r>
      <rPr>
        <sz val="9"/>
        <color rgb="FF000000"/>
        <rFont val="WenQuanYi Zen Hei"/>
        <family val="2"/>
      </rPr>
      <t xml:space="preserve">속도로 닫힘 → 피드백 </t>
    </r>
    <r>
      <rPr>
        <sz val="9"/>
        <color rgb="FF000000"/>
        <rFont val="맑은 고딕"/>
        <family val="0"/>
        <charset val="1"/>
      </rPr>
      <t xml:space="preserve">0% </t>
    </r>
    <r>
      <rPr>
        <sz val="9"/>
        <color rgb="FF000000"/>
        <rFont val="WenQuanYi Zen Hei"/>
        <family val="2"/>
      </rPr>
      <t xml:space="preserve">확인</t>
    </r>
  </si>
  <si>
    <r>
      <rPr>
        <sz val="9"/>
        <color rgb="FF000000"/>
        <rFont val="맑은 고딕"/>
        <family val="0"/>
        <charset val="1"/>
      </rPr>
      <t xml:space="preserve">[</t>
    </r>
    <r>
      <rPr>
        <sz val="9"/>
        <color rgb="FF000000"/>
        <rFont val="WenQuanYi Zen Hei"/>
        <family val="2"/>
      </rPr>
      <t xml:space="preserve">이상 시</t>
    </r>
    <r>
      <rPr>
        <sz val="9"/>
        <color rgb="FF000000"/>
        <rFont val="맑은 고딕"/>
        <family val="0"/>
        <charset val="1"/>
      </rPr>
      <t xml:space="preserve">]  P12 </t>
    </r>
    <r>
      <rPr>
        <sz val="9"/>
        <color rgb="FF000000"/>
        <rFont val="WenQuanYi Zen Hei"/>
        <family val="2"/>
      </rPr>
      <t xml:space="preserve">스팀 실패 또는 </t>
    </r>
    <r>
      <rPr>
        <sz val="9"/>
        <color rgb="FF000000"/>
        <rFont val="맑은 고딕"/>
        <family val="0"/>
        <charset val="1"/>
      </rPr>
      <t xml:space="preserve">P13 </t>
    </r>
    <r>
      <rPr>
        <sz val="9"/>
        <color rgb="FF000000"/>
        <rFont val="WenQuanYi Zen Hei"/>
        <family val="2"/>
      </rPr>
      <t xml:space="preserve">상한 초과 → 즉시 전기모드 복귀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WenQuanYi Zen Hei"/>
        <family val="2"/>
      </rPr>
      <t xml:space="preserve">알람</t>
    </r>
    <r>
      <rPr>
        <sz val="9"/>
        <color rgb="FF000000"/>
        <rFont val="맑은 고딕"/>
        <family val="0"/>
        <charset val="1"/>
      </rPr>
      <t xml:space="preserve">, P10 </t>
    </r>
    <r>
      <rPr>
        <sz val="9"/>
        <color rgb="FF000000"/>
        <rFont val="WenQuanYi Zen Hei"/>
        <family val="2"/>
      </rPr>
      <t xml:space="preserve">동안 재전환 금지</t>
    </r>
  </si>
  <si>
    <r>
      <rPr>
        <b val="true"/>
        <sz val="14"/>
        <color rgb="FF000000"/>
        <rFont val="맑은 고딕"/>
        <family val="0"/>
        <charset val="1"/>
      </rPr>
      <t xml:space="preserve">8. AHU</t>
    </r>
    <r>
      <rPr>
        <b val="true"/>
        <sz val="14"/>
        <color rgb="FF000000"/>
        <rFont val="WenQuanYi Zen Hei"/>
        <family val="2"/>
      </rPr>
      <t xml:space="preserve">별 최종 세팅값 요약</t>
    </r>
  </si>
  <si>
    <r>
      <rPr>
        <sz val="9"/>
        <color rgb="FF595959"/>
        <rFont val="WenQuanYi Zen Hei"/>
        <family val="2"/>
      </rPr>
      <t xml:space="preserve">연두색은 </t>
    </r>
    <r>
      <rPr>
        <sz val="9"/>
        <color rgb="FF595959"/>
        <rFont val="맑은 고딕"/>
        <family val="0"/>
        <charset val="1"/>
      </rPr>
      <t xml:space="preserve">3_</t>
    </r>
    <r>
      <rPr>
        <sz val="9"/>
        <color rgb="FF595959"/>
        <rFont val="WenQuanYi Zen Hei"/>
        <family val="2"/>
      </rPr>
      <t xml:space="preserve">전환시간실측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 행 포함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에서 자동 집계 — 예시 행을 지우거나 덮어쓴 뒤 사용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노란색에 최종 확정값 기입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</si>
  <si>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9"/>
        <color rgb="FFFFFFFF"/>
        <rFont val="맑은 고딕"/>
        <family val="0"/>
        <charset val="1"/>
      </rPr>
      <t xml:space="preserve">A. </t>
    </r>
    <r>
      <rPr>
        <b val="true"/>
        <sz val="9"/>
        <color rgb="FFFFFFFF"/>
        <rFont val="WenQuanYi Zen Hei"/>
        <family val="2"/>
      </rPr>
      <t xml:space="preserve">실측 횟수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전기→스팀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</si>
  <si>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스팀 총응답
평균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</si>
  <si>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스팀 총응답
최대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</si>
  <si>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권장 </t>
    </r>
    <r>
      <rPr>
        <b val="true"/>
        <sz val="9"/>
        <color rgb="FFFFFFFF"/>
        <rFont val="맑은 고딕"/>
        <family val="0"/>
        <charset val="1"/>
      </rPr>
      <t xml:space="preserve">Time Delay
(</t>
    </r>
    <r>
      <rPr>
        <b val="true"/>
        <sz val="9"/>
        <color rgb="FFFFFFFF"/>
        <rFont val="WenQuanYi Zen Hei"/>
        <family val="2"/>
      </rPr>
      <t xml:space="preserve">최대</t>
    </r>
    <r>
      <rPr>
        <b val="true"/>
        <sz val="9"/>
        <color rgb="FFFFFFFF"/>
        <rFont val="맑은 고딕"/>
        <family val="0"/>
        <charset val="1"/>
      </rPr>
      <t xml:space="preserve">+</t>
    </r>
    <r>
      <rPr>
        <b val="true"/>
        <sz val="9"/>
        <color rgb="FFFFFFFF"/>
        <rFont val="WenQuanYi Zen Hei"/>
        <family val="2"/>
      </rPr>
      <t xml:space="preserve">여유</t>
    </r>
    <r>
      <rPr>
        <b val="true"/>
        <sz val="9"/>
        <color rgb="FFFFFFFF"/>
        <rFont val="맑은 고딕"/>
        <family val="0"/>
        <charset val="1"/>
      </rPr>
      <t xml:space="preserve">, 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</si>
  <si>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열공백 최대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</si>
  <si>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B. </t>
    </r>
    <r>
      <rPr>
        <b val="true"/>
        <sz val="9"/>
        <color rgb="FFFFFFFF"/>
        <rFont val="WenQuanYi Zen Hei"/>
        <family val="2"/>
      </rPr>
      <t xml:space="preserve">실측 횟수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스팀→전기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</si>
  <si>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중첩시간
평균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초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</si>
  <si>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오버슈트
최대</t>
    </r>
    <r>
      <rPr>
        <b val="true"/>
        <sz val="9"/>
        <color rgb="FFFFFFFF"/>
        <rFont val="맑은 고딕"/>
        <family val="0"/>
        <charset val="1"/>
      </rPr>
      <t xml:space="preserve">(℃)</t>
    </r>
  </si>
  <si>
    <t xml:space="preserve">UI Time Delay
As-left</t>
  </si>
  <si>
    <r>
      <rPr>
        <b val="true"/>
        <sz val="9"/>
        <color rgb="FFFFFFFF"/>
        <rFont val="WenQuanYi Zen Hei"/>
        <family val="2"/>
      </rPr>
      <t xml:space="preserve">최종 </t>
    </r>
    <r>
      <rPr>
        <b val="true"/>
        <sz val="9"/>
        <color rgb="FFFFFFFF"/>
        <rFont val="맑은 고딕"/>
        <family val="0"/>
        <charset val="1"/>
      </rPr>
      <t xml:space="preserve">Time Delay</t>
    </r>
  </si>
  <si>
    <r>
      <rPr>
        <b val="true"/>
        <sz val="9"/>
        <color rgb="FFFFFFFF"/>
        <rFont val="WenQuanYi Zen Hei"/>
        <family val="2"/>
      </rPr>
      <t xml:space="preserve">최종 초기개도</t>
    </r>
    <r>
      <rPr>
        <b val="true"/>
        <sz val="9"/>
        <color rgb="FFFFFFFF"/>
        <rFont val="맑은 고딕"/>
        <family val="0"/>
        <charset val="1"/>
      </rPr>
      <t xml:space="preserve">(%)</t>
    </r>
  </si>
  <si>
    <r>
      <rPr>
        <b val="true"/>
        <sz val="9"/>
        <color rgb="FFFFFFFF"/>
        <rFont val="WenQuanYi Zen Hei"/>
        <family val="2"/>
      </rPr>
      <t xml:space="preserve">최종 램프율
</t>
    </r>
    <r>
      <rPr>
        <b val="true"/>
        <sz val="9"/>
        <color rgb="FFFFFFFF"/>
        <rFont val="맑은 고딕"/>
        <family val="0"/>
        <charset val="1"/>
      </rPr>
      <t xml:space="preserve">(%/</t>
    </r>
    <r>
      <rPr>
        <b val="true"/>
        <sz val="9"/>
        <color rgb="FFFFFFFF"/>
        <rFont val="WenQuanYi Zen Hei"/>
        <family val="2"/>
      </rPr>
      <t xml:space="preserve">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</si>
  <si>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※ 권장 </t>
    </r>
    <r>
      <rPr>
        <sz val="9"/>
        <color rgb="FF000000"/>
        <rFont val="맑은 고딕"/>
        <family val="0"/>
        <charset val="1"/>
      </rPr>
      <t xml:space="preserve">Time Delay </t>
    </r>
    <r>
      <rPr>
        <sz val="9"/>
        <color rgb="FF000000"/>
        <rFont val="WenQuanYi Zen Hei"/>
        <family val="2"/>
      </rPr>
      <t xml:space="preserve">는 </t>
    </r>
    <r>
      <rPr>
        <sz val="9"/>
        <color rgb="FF000000"/>
        <rFont val="맑은 고딕"/>
        <family val="0"/>
        <charset val="1"/>
      </rPr>
      <t xml:space="preserve">'</t>
    </r>
    <r>
      <rPr>
        <sz val="9"/>
        <color rgb="FF000000"/>
        <rFont val="WenQuanYi Zen Hei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' </t>
    </r>
    <r>
      <rPr>
        <sz val="9"/>
        <color rgb="FF000000"/>
        <rFont val="WenQuanYi Zen Hei"/>
        <family val="2"/>
      </rPr>
      <t xml:space="preserve">기준 — </t>
    </r>
    <r>
      <rPr>
        <sz val="9"/>
        <color rgb="FF000000"/>
        <rFont val="맑은 고딕"/>
        <family val="0"/>
        <charset val="1"/>
      </rPr>
      <t xml:space="preserve">UI Time Delay </t>
    </r>
    <r>
      <rPr>
        <sz val="9"/>
        <color rgb="FF000000"/>
        <rFont val="WenQuanYi Zen Hei"/>
        <family val="2"/>
      </rPr>
      <t xml:space="preserve">단위가 분이면 </t>
    </r>
    <r>
      <rPr>
        <sz val="9"/>
        <color rgb="FF000000"/>
        <rFont val="맑은 고딕"/>
        <family val="0"/>
        <charset val="1"/>
      </rPr>
      <t xml:space="preserve">60</t>
    </r>
    <r>
      <rPr>
        <sz val="9"/>
        <color rgb="FF000000"/>
        <rFont val="WenQuanYi Zen Hei"/>
        <family val="2"/>
      </rPr>
      <t xml:space="preserve">으로 나눠 입력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</si>
  <si>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WenQuanYi Zen Hei"/>
        <family val="2"/>
      </rPr>
      <t xml:space="preserve">※ 열공백 최대가 크면</t>
    </r>
    <r>
      <rPr>
        <sz val="9"/>
        <color rgb="FF000000"/>
        <rFont val="맑은 고딕"/>
        <family val="0"/>
        <charset val="1"/>
      </rPr>
      <t xml:space="preserve">(+) </t>
    </r>
    <r>
      <rPr>
        <sz val="9"/>
        <color rgb="FF000000"/>
        <rFont val="WenQuanYi Zen Hei"/>
        <family val="2"/>
      </rPr>
      <t xml:space="preserve">히터 </t>
    </r>
    <r>
      <rPr>
        <sz val="9"/>
        <color rgb="FF000000"/>
        <rFont val="맑은 고딕"/>
        <family val="0"/>
        <charset val="1"/>
      </rPr>
      <t xml:space="preserve">OFF</t>
    </r>
    <r>
      <rPr>
        <sz val="9"/>
        <color rgb="FF000000"/>
        <rFont val="WenQuanYi Zen Hei"/>
        <family val="2"/>
      </rPr>
      <t xml:space="preserve">가 너무 빠름 → </t>
    </r>
    <r>
      <rPr>
        <sz val="9"/>
        <color rgb="FF000000"/>
        <rFont val="맑은 고딕"/>
        <family val="0"/>
        <charset val="1"/>
      </rPr>
      <t xml:space="preserve">Time Delay </t>
    </r>
    <r>
      <rPr>
        <sz val="9"/>
        <color rgb="FF000000"/>
        <rFont val="WenQuanYi Zen Hei"/>
        <family val="2"/>
      </rPr>
      <t xml:space="preserve">증가 또는 단계 </t>
    </r>
    <r>
      <rPr>
        <sz val="9"/>
        <color rgb="FF000000"/>
        <rFont val="맑은 고딕"/>
        <family val="0"/>
        <charset val="1"/>
      </rPr>
      <t xml:space="preserve">OFF </t>
    </r>
    <r>
      <rPr>
        <sz val="9"/>
        <color rgb="FF000000"/>
        <rFont val="WenQuanYi Zen Hei"/>
        <family val="2"/>
      </rPr>
      <t xml:space="preserve">적용</t>
    </r>
    <r>
      <rPr>
        <sz val="9"/>
        <color rgb="FF000000"/>
        <rFont val="맑은 고딕"/>
        <family val="0"/>
        <charset val="1"/>
      </rPr>
      <t xml:space="preserve">.</t>
    </r>
  </si>
  <si>
    <t xml:space="preserve">확인 서명</t>
  </si>
  <si>
    <t xml:space="preserve">소속</t>
  </si>
  <si>
    <t xml:space="preserve">성명</t>
  </si>
  <si>
    <t xml:space="preserve">서명</t>
  </si>
  <si>
    <t xml:space="preserve">일자</t>
  </si>
  <si>
    <r>
      <rPr>
        <sz val="10"/>
        <color rgb="FF000000"/>
        <rFont val="WenQuanYi Zen Hei"/>
        <family val="2"/>
      </rPr>
      <t xml:space="preserve">제어</t>
    </r>
    <r>
      <rPr>
        <sz val="10"/>
        <color rgb="FF000000"/>
        <rFont val="맑은 고딕"/>
        <family val="0"/>
        <charset val="1"/>
      </rPr>
      <t xml:space="preserve">(Metasys) </t>
    </r>
    <r>
      <rPr>
        <sz val="10"/>
        <color rgb="FF000000"/>
        <rFont val="WenQuanYi Zen Hei"/>
        <family val="2"/>
      </rPr>
      <t xml:space="preserve">담당</t>
    </r>
  </si>
  <si>
    <t xml:space="preserve">설비 운영 담당</t>
  </si>
  <si>
    <t xml:space="preserve">보관소 담당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</si>
</sst>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0.0&quot; bar&quot;"/>
    <numFmt numFmtId="167" formatCode="0.0"/>
    <numFmt numFmtId="168" formatCode="hh:mm"/>
    <numFmt numFmtId="169" formatCode="0%"/>
    <numFmt numFmtId="170" formatCode="0\초"/>
    <numFmt numFmtId="171" formatCode="mm\-dd"/>
    <numFmt numFmtId="172" formatCode="hh:mm:ss"/>
    <numFmt numFmtId="173" formatCode="0;\-0;0"/>
    <numFmt numFmtId="174" formatCode="0.00"/>
    <numFmt numFmtId="175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b val="true"/>
      <sz val="14"/>
      <color rgb="FF000000"/>
      <name val="맑은 고딕"/>
      <family val="0"/>
      <charset val="1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b val="true"/>
      <sz val="10"/>
      <color rgb="FF0000FF"/>
      <name val="WenQuanYi Zen Hei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WenQuanYi Zen Hei"/>
      <family val="2"/>
    </font>
    <font>
      <sz val="10"/>
      <color rgb="FF0000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9"/>
      <color rgb="FF000000"/>
      <name val="맑은 고딕"/>
      <family val="0"/>
      <charset val="1"/>
    </font>
    <font>
      <sz val="9"/>
      <color rgb="FF000000"/>
      <name val="WenQuanYi Zen Hei"/>
      <family val="2"/>
    </font>
    <font>
      <sz val="9"/>
      <color rgb="FF000000"/>
      <name val="맑은 고딕"/>
      <family val="0"/>
      <charset val="1"/>
    </font>
    <font>
      <sz val="10"/>
      <color rgb="FF0000FF"/>
      <name val="WenQuanYi Zen Hei"/>
      <family val="2"/>
    </font>
    <font>
      <b val="true"/>
      <sz val="9"/>
      <color rgb="FF000000"/>
      <name val="WenQuanYi Zen Hei"/>
      <family val="2"/>
    </font>
    <font>
      <b val="true"/>
      <sz val="8"/>
      <color rgb="FF000000"/>
      <name val="WenQuanYi Zen Hei"/>
      <family val="2"/>
    </font>
    <font>
      <b val="true"/>
      <sz val="8"/>
      <color rgb="FF000000"/>
      <name val="맑은 고딕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0"/>
      <color rgb="FFC00000"/>
      <name val="WenQuanYi Zen He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375623"/>
        <bgColor rgb="FF595959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</row>
    <row r="6" customFormat="false" ht="15" hidden="false" customHeight="false" outlineLevel="0" collapsed="false">
      <c r="A6" s="4" t="s">
        <v>4</v>
      </c>
      <c r="B6" s="6"/>
      <c r="C6" s="6"/>
      <c r="D6" s="6"/>
    </row>
    <row r="7" customFormat="false" ht="15" hidden="false" customHeight="false" outlineLevel="0" collapsed="false">
      <c r="A7" s="4" t="s">
        <v>5</v>
      </c>
      <c r="B7" s="5"/>
      <c r="C7" s="5"/>
      <c r="D7" s="5"/>
    </row>
    <row r="8" customFormat="false" ht="15" hidden="false" customHeight="false" outlineLevel="0" collapsed="false">
      <c r="A8" s="4" t="s">
        <v>6</v>
      </c>
      <c r="B8" s="5"/>
      <c r="C8" s="5"/>
      <c r="D8" s="5"/>
    </row>
    <row r="9" customFormat="false" ht="26.85" hidden="false" customHeight="false" outlineLevel="0" collapsed="false">
      <c r="A9" s="7" t="s">
        <v>7</v>
      </c>
      <c r="B9" s="5"/>
      <c r="C9" s="5"/>
      <c r="D9" s="5"/>
    </row>
    <row r="10" customFormat="false" ht="15" hidden="false" customHeight="false" outlineLevel="0" collapsed="false">
      <c r="A10" s="4" t="s">
        <v>8</v>
      </c>
      <c r="B10" s="5"/>
      <c r="C10" s="5"/>
      <c r="D10" s="5"/>
    </row>
    <row r="12" customFormat="false" ht="15" hidden="false" customHeight="false" outlineLevel="0" collapsed="false">
      <c r="A12" s="3" t="s">
        <v>9</v>
      </c>
    </row>
    <row r="13" customFormat="false" ht="15" hidden="false" customHeight="true" outlineLevel="0" collapsed="false">
      <c r="A13" s="5"/>
      <c r="B13" s="8" t="s">
        <v>10</v>
      </c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9"/>
      <c r="B14" s="8" t="s">
        <v>11</v>
      </c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10"/>
      <c r="B15" s="8" t="s">
        <v>12</v>
      </c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11"/>
      <c r="B16" s="8" t="s">
        <v>13</v>
      </c>
      <c r="C16" s="8"/>
      <c r="D16" s="8"/>
      <c r="E16" s="8"/>
      <c r="F16" s="8"/>
      <c r="G16" s="8"/>
      <c r="H16" s="8"/>
    </row>
    <row r="17" customFormat="false" ht="15" hidden="false" customHeight="true" outlineLevel="0" collapsed="false">
      <c r="A17" s="12" t="s">
        <v>14</v>
      </c>
      <c r="B17" s="13" t="s">
        <v>15</v>
      </c>
      <c r="C17" s="13"/>
      <c r="D17" s="13"/>
      <c r="E17" s="13"/>
      <c r="F17" s="13"/>
      <c r="G17" s="13"/>
      <c r="H17" s="13"/>
    </row>
    <row r="19" customFormat="false" ht="26.85" hidden="false" customHeight="false" outlineLevel="0" collapsed="false">
      <c r="A19" s="3" t="s">
        <v>16</v>
      </c>
    </row>
    <row r="20" customFormat="false" ht="31.5" hidden="false" customHeight="true" outlineLevel="0" collapsed="false">
      <c r="A20" s="14" t="s">
        <v>17</v>
      </c>
      <c r="B20" s="15" t="s">
        <v>18</v>
      </c>
      <c r="C20" s="15" t="s">
        <v>19</v>
      </c>
      <c r="D20" s="15" t="s">
        <v>20</v>
      </c>
      <c r="E20" s="15" t="s">
        <v>21</v>
      </c>
      <c r="F20" s="15" t="s">
        <v>22</v>
      </c>
      <c r="G20" s="15" t="s">
        <v>23</v>
      </c>
      <c r="H20" s="15" t="s">
        <v>24</v>
      </c>
    </row>
    <row r="21" customFormat="false" ht="15" hidden="false" customHeight="false" outlineLevel="0" collapsed="false">
      <c r="A21" s="16" t="s">
        <v>25</v>
      </c>
      <c r="B21" s="17" t="s">
        <v>26</v>
      </c>
      <c r="C21" s="16" t="n">
        <v>6</v>
      </c>
      <c r="D21" s="16" t="n">
        <v>1</v>
      </c>
      <c r="E21" s="18" t="n">
        <v>10</v>
      </c>
      <c r="F21" s="16" t="s">
        <v>27</v>
      </c>
      <c r="G21" s="19" t="n">
        <v>5</v>
      </c>
      <c r="H21" s="20"/>
    </row>
    <row r="22" customFormat="false" ht="15" hidden="false" customHeight="false" outlineLevel="0" collapsed="false">
      <c r="A22" s="16" t="s">
        <v>28</v>
      </c>
      <c r="B22" s="17" t="s">
        <v>26</v>
      </c>
      <c r="C22" s="16" t="n">
        <v>6</v>
      </c>
      <c r="D22" s="16" t="n">
        <v>1</v>
      </c>
      <c r="E22" s="18" t="n">
        <v>10</v>
      </c>
      <c r="F22" s="16" t="s">
        <v>27</v>
      </c>
      <c r="G22" s="19" t="n">
        <v>5</v>
      </c>
      <c r="H22" s="21" t="s">
        <v>29</v>
      </c>
    </row>
    <row r="23" customFormat="false" ht="15" hidden="false" customHeight="false" outlineLevel="0" collapsed="false">
      <c r="A23" s="16" t="s">
        <v>30</v>
      </c>
      <c r="B23" s="17" t="s">
        <v>26</v>
      </c>
      <c r="C23" s="16" t="n">
        <v>6</v>
      </c>
      <c r="D23" s="16" t="n">
        <v>1</v>
      </c>
      <c r="E23" s="18" t="n">
        <v>10</v>
      </c>
      <c r="F23" s="16" t="s">
        <v>27</v>
      </c>
      <c r="G23" s="19" t="n">
        <v>10</v>
      </c>
      <c r="H23" s="20"/>
    </row>
    <row r="24" customFormat="false" ht="26.85" hidden="false" customHeight="false" outlineLevel="0" collapsed="false">
      <c r="A24" s="16" t="s">
        <v>31</v>
      </c>
      <c r="B24" s="17" t="s">
        <v>26</v>
      </c>
      <c r="C24" s="16" t="n">
        <v>8</v>
      </c>
      <c r="D24" s="16" t="n">
        <v>2</v>
      </c>
      <c r="E24" s="18" t="n">
        <v>10</v>
      </c>
      <c r="F24" s="16" t="s">
        <v>27</v>
      </c>
      <c r="G24" s="19" t="n">
        <v>1</v>
      </c>
      <c r="H24" s="21" t="s">
        <v>32</v>
      </c>
    </row>
    <row r="25" customFormat="false" ht="26.85" hidden="false" customHeight="false" outlineLevel="0" collapsed="false">
      <c r="A25" s="16" t="s">
        <v>33</v>
      </c>
      <c r="B25" s="17" t="s">
        <v>34</v>
      </c>
      <c r="C25" s="16" t="n">
        <v>6</v>
      </c>
      <c r="D25" s="16" t="n">
        <v>1</v>
      </c>
      <c r="E25" s="18" t="n">
        <v>7</v>
      </c>
      <c r="F25" s="17" t="s">
        <v>35</v>
      </c>
      <c r="G25" s="19" t="n">
        <v>1</v>
      </c>
      <c r="H25" s="21" t="s">
        <v>36</v>
      </c>
    </row>
    <row r="27" customFormat="false" ht="26.85" hidden="false" customHeight="false" outlineLevel="0" collapsed="false">
      <c r="A27" s="3" t="s">
        <v>37</v>
      </c>
    </row>
    <row r="28" customFormat="false" ht="19.5" hidden="false" customHeight="true" outlineLevel="0" collapsed="false">
      <c r="A28" s="15" t="s">
        <v>38</v>
      </c>
      <c r="B28" s="15"/>
      <c r="C28" s="15" t="s">
        <v>39</v>
      </c>
      <c r="D28" s="15"/>
      <c r="E28" s="15"/>
      <c r="F28" s="15"/>
      <c r="G28" s="15"/>
      <c r="H28" s="15"/>
    </row>
    <row r="29" customFormat="false" ht="30" hidden="false" customHeight="true" outlineLevel="0" collapsed="false">
      <c r="A29" s="22" t="s">
        <v>40</v>
      </c>
      <c r="B29" s="22"/>
      <c r="C29" s="21" t="s">
        <v>41</v>
      </c>
      <c r="D29" s="21"/>
      <c r="E29" s="21"/>
      <c r="F29" s="21"/>
      <c r="G29" s="21"/>
      <c r="H29" s="21"/>
    </row>
    <row r="30" customFormat="false" ht="30" hidden="false" customHeight="true" outlineLevel="0" collapsed="false">
      <c r="A30" s="22" t="s">
        <v>42</v>
      </c>
      <c r="B30" s="22"/>
      <c r="C30" s="20" t="s">
        <v>43</v>
      </c>
      <c r="D30" s="20"/>
      <c r="E30" s="20"/>
      <c r="F30" s="20"/>
      <c r="G30" s="20"/>
      <c r="H30" s="20"/>
    </row>
    <row r="31" customFormat="false" ht="30" hidden="false" customHeight="true" outlineLevel="0" collapsed="false">
      <c r="A31" s="22" t="s">
        <v>44</v>
      </c>
      <c r="B31" s="22"/>
      <c r="C31" s="21" t="s">
        <v>45</v>
      </c>
      <c r="D31" s="21"/>
      <c r="E31" s="21"/>
      <c r="F31" s="21"/>
      <c r="G31" s="21"/>
      <c r="H31" s="21"/>
    </row>
    <row r="32" customFormat="false" ht="30" hidden="false" customHeight="true" outlineLevel="0" collapsed="false">
      <c r="A32" s="22" t="s">
        <v>46</v>
      </c>
      <c r="B32" s="22"/>
      <c r="C32" s="21" t="s">
        <v>47</v>
      </c>
      <c r="D32" s="21"/>
      <c r="E32" s="21"/>
      <c r="F32" s="21"/>
      <c r="G32" s="21"/>
      <c r="H32" s="21"/>
    </row>
    <row r="33" customFormat="false" ht="30" hidden="false" customHeight="true" outlineLevel="0" collapsed="false">
      <c r="A33" s="22" t="s">
        <v>48</v>
      </c>
      <c r="B33" s="22"/>
      <c r="C33" s="21" t="s">
        <v>49</v>
      </c>
      <c r="D33" s="21"/>
      <c r="E33" s="21"/>
      <c r="F33" s="21"/>
      <c r="G33" s="21"/>
      <c r="H33" s="21"/>
    </row>
    <row r="34" customFormat="false" ht="30" hidden="false" customHeight="true" outlineLevel="0" collapsed="false">
      <c r="A34" s="22" t="s">
        <v>50</v>
      </c>
      <c r="B34" s="22"/>
      <c r="C34" s="21" t="s">
        <v>51</v>
      </c>
      <c r="D34" s="21"/>
      <c r="E34" s="21"/>
      <c r="F34" s="21"/>
      <c r="G34" s="21"/>
      <c r="H34" s="21"/>
    </row>
    <row r="35" customFormat="false" ht="30" hidden="false" customHeight="true" outlineLevel="0" collapsed="false">
      <c r="A35" s="22" t="s">
        <v>52</v>
      </c>
      <c r="B35" s="22"/>
      <c r="C35" s="20" t="s">
        <v>53</v>
      </c>
      <c r="D35" s="20"/>
      <c r="E35" s="20"/>
      <c r="F35" s="20"/>
      <c r="G35" s="20"/>
      <c r="H35" s="20"/>
    </row>
    <row r="36" customFormat="false" ht="30" hidden="false" customHeight="true" outlineLevel="0" collapsed="false">
      <c r="A36" s="22" t="s">
        <v>54</v>
      </c>
      <c r="B36" s="22"/>
      <c r="C36" s="20" t="s">
        <v>55</v>
      </c>
      <c r="D36" s="20"/>
      <c r="E36" s="20"/>
      <c r="F36" s="20"/>
      <c r="G36" s="20"/>
      <c r="H36" s="20"/>
    </row>
    <row r="38" customFormat="false" ht="26.85" hidden="false" customHeight="false" outlineLevel="0" collapsed="false">
      <c r="A38" s="3" t="s">
        <v>56</v>
      </c>
    </row>
    <row r="39" customFormat="false" ht="27.75" hidden="false" customHeight="true" outlineLevel="0" collapsed="false">
      <c r="A39" s="8" t="s">
        <v>57</v>
      </c>
      <c r="B39" s="8"/>
      <c r="C39" s="8"/>
      <c r="D39" s="8"/>
      <c r="E39" s="8"/>
      <c r="F39" s="8"/>
      <c r="G39" s="8"/>
      <c r="H39" s="8"/>
    </row>
    <row r="40" customFormat="false" ht="27.75" hidden="false" customHeight="true" outlineLevel="0" collapsed="false">
      <c r="A40" s="8" t="s">
        <v>58</v>
      </c>
      <c r="B40" s="8"/>
      <c r="C40" s="8"/>
      <c r="D40" s="8"/>
      <c r="E40" s="8"/>
      <c r="F40" s="8"/>
      <c r="G40" s="8"/>
      <c r="H40" s="8"/>
    </row>
    <row r="41" customFormat="false" ht="27.75" hidden="false" customHeight="true" outlineLevel="0" collapsed="false">
      <c r="A41" s="8" t="s">
        <v>59</v>
      </c>
      <c r="B41" s="8"/>
      <c r="C41" s="8"/>
      <c r="D41" s="8"/>
      <c r="E41" s="8"/>
      <c r="F41" s="8"/>
      <c r="G41" s="8"/>
      <c r="H41" s="8"/>
    </row>
    <row r="42" customFormat="false" ht="27.75" hidden="false" customHeight="true" outlineLevel="0" collapsed="false">
      <c r="A42" s="8" t="s">
        <v>60</v>
      </c>
      <c r="B42" s="8"/>
      <c r="C42" s="8"/>
      <c r="D42" s="8"/>
      <c r="E42" s="8"/>
      <c r="F42" s="8"/>
      <c r="G42" s="8"/>
      <c r="H42" s="8"/>
    </row>
    <row r="43" customFormat="false" ht="27.75" hidden="false" customHeight="true" outlineLevel="0" collapsed="false">
      <c r="A43" s="8" t="s">
        <v>61</v>
      </c>
      <c r="B43" s="8"/>
      <c r="C43" s="8"/>
      <c r="D43" s="8"/>
      <c r="E43" s="8"/>
      <c r="F43" s="8"/>
      <c r="G43" s="8"/>
      <c r="H43" s="8"/>
    </row>
  </sheetData>
  <mergeCells count="36">
    <mergeCell ref="A1:H1"/>
    <mergeCell ref="A2:H2"/>
    <mergeCell ref="B5:D5"/>
    <mergeCell ref="B6:D6"/>
    <mergeCell ref="B7:D7"/>
    <mergeCell ref="B8:D8"/>
    <mergeCell ref="B9:D9"/>
    <mergeCell ref="B10:D10"/>
    <mergeCell ref="B13:H13"/>
    <mergeCell ref="B14:H14"/>
    <mergeCell ref="B15:H15"/>
    <mergeCell ref="B16:H16"/>
    <mergeCell ref="B17:H1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14" min="5" style="0" width="10"/>
    <col collapsed="false" customWidth="true" hidden="false" outlineLevel="0" max="15" min="15" style="0" width="34"/>
  </cols>
  <sheetData>
    <row r="1" customFormat="false" ht="25.5" hidden="false" customHeight="true" outlineLevel="0" collapsed="false">
      <c r="A1" s="23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customFormat="false" ht="30" hidden="false" customHeight="true" outlineLevel="0" collapsed="false">
      <c r="A2" s="24" t="s">
        <v>63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customFormat="false" ht="30" hidden="false" customHeight="true" outlineLevel="0" collapsed="false">
      <c r="A4" s="25" t="s">
        <v>64</v>
      </c>
      <c r="B4" s="26" t="s">
        <v>18</v>
      </c>
      <c r="C4" s="26" t="s">
        <v>65</v>
      </c>
      <c r="D4" s="26" t="s">
        <v>66</v>
      </c>
      <c r="E4" s="14" t="s">
        <v>67</v>
      </c>
      <c r="F4" s="14"/>
      <c r="G4" s="14" t="s">
        <v>68</v>
      </c>
      <c r="H4" s="14"/>
      <c r="I4" s="14" t="s">
        <v>69</v>
      </c>
      <c r="J4" s="14"/>
      <c r="K4" s="14" t="s">
        <v>70</v>
      </c>
      <c r="L4" s="14"/>
      <c r="M4" s="14" t="s">
        <v>71</v>
      </c>
      <c r="N4" s="14"/>
      <c r="O4" s="26" t="s">
        <v>72</v>
      </c>
    </row>
    <row r="5" customFormat="false" ht="15" hidden="false" customHeight="false" outlineLevel="0" collapsed="false">
      <c r="A5" s="25"/>
      <c r="B5" s="25"/>
      <c r="C5" s="25"/>
      <c r="D5" s="25"/>
      <c r="E5" s="27" t="s">
        <v>73</v>
      </c>
      <c r="F5" s="27" t="s">
        <v>74</v>
      </c>
      <c r="G5" s="27" t="s">
        <v>73</v>
      </c>
      <c r="H5" s="27" t="s">
        <v>74</v>
      </c>
      <c r="I5" s="27" t="s">
        <v>73</v>
      </c>
      <c r="J5" s="27" t="s">
        <v>74</v>
      </c>
      <c r="K5" s="27" t="s">
        <v>73</v>
      </c>
      <c r="L5" s="27" t="s">
        <v>74</v>
      </c>
      <c r="M5" s="27" t="s">
        <v>73</v>
      </c>
      <c r="N5" s="27" t="s">
        <v>74</v>
      </c>
      <c r="O5" s="26"/>
    </row>
    <row r="6" customFormat="false" ht="37.3" hidden="false" customHeight="false" outlineLevel="0" collapsed="false">
      <c r="A6" s="16" t="n">
        <v>1</v>
      </c>
      <c r="B6" s="17" t="s">
        <v>75</v>
      </c>
      <c r="C6" s="20" t="s">
        <v>76</v>
      </c>
      <c r="D6" s="16" t="s">
        <v>77</v>
      </c>
      <c r="E6" s="28" t="n">
        <v>10</v>
      </c>
      <c r="F6" s="5"/>
      <c r="G6" s="28" t="n">
        <v>10</v>
      </c>
      <c r="H6" s="5"/>
      <c r="I6" s="28" t="n">
        <v>10</v>
      </c>
      <c r="J6" s="5"/>
      <c r="K6" s="28" t="n">
        <v>10</v>
      </c>
      <c r="L6" s="5"/>
      <c r="M6" s="28" t="n">
        <v>7</v>
      </c>
      <c r="N6" s="5"/>
      <c r="O6" s="29" t="s">
        <v>78</v>
      </c>
    </row>
    <row r="7" customFormat="false" ht="15" hidden="false" customHeight="false" outlineLevel="0" collapsed="false">
      <c r="A7" s="16" t="n">
        <v>2</v>
      </c>
      <c r="B7" s="17" t="s">
        <v>75</v>
      </c>
      <c r="C7" s="21" t="s">
        <v>79</v>
      </c>
      <c r="D7" s="16" t="s">
        <v>77</v>
      </c>
      <c r="E7" s="28" t="n">
        <v>7.9</v>
      </c>
      <c r="F7" s="5"/>
      <c r="G7" s="28" t="n">
        <v>7.9</v>
      </c>
      <c r="H7" s="5"/>
      <c r="I7" s="28" t="n">
        <v>7.9</v>
      </c>
      <c r="J7" s="5"/>
      <c r="K7" s="28" t="n">
        <v>7.9</v>
      </c>
      <c r="L7" s="5"/>
      <c r="M7" s="28" t="n">
        <v>8</v>
      </c>
      <c r="N7" s="5"/>
      <c r="O7" s="29" t="s">
        <v>80</v>
      </c>
    </row>
    <row r="8" customFormat="false" ht="15" hidden="false" customHeight="false" outlineLevel="0" collapsed="false">
      <c r="A8" s="16" t="n">
        <v>3</v>
      </c>
      <c r="B8" s="17" t="s">
        <v>75</v>
      </c>
      <c r="C8" s="21" t="s">
        <v>81</v>
      </c>
      <c r="D8" s="16" t="s">
        <v>77</v>
      </c>
      <c r="E8" s="28" t="n">
        <v>7.8</v>
      </c>
      <c r="F8" s="5"/>
      <c r="G8" s="28" t="n">
        <v>7.8</v>
      </c>
      <c r="H8" s="5"/>
      <c r="I8" s="28" t="n">
        <v>7.8</v>
      </c>
      <c r="J8" s="5"/>
      <c r="K8" s="28" t="n">
        <v>7.8</v>
      </c>
      <c r="L8" s="5"/>
      <c r="M8" s="5"/>
      <c r="N8" s="5"/>
      <c r="O8" s="29" t="s">
        <v>82</v>
      </c>
    </row>
    <row r="9" customFormat="false" ht="15" hidden="false" customHeight="false" outlineLevel="0" collapsed="false">
      <c r="A9" s="16" t="n">
        <v>4</v>
      </c>
      <c r="B9" s="17" t="s">
        <v>75</v>
      </c>
      <c r="C9" s="21" t="s">
        <v>83</v>
      </c>
      <c r="D9" s="16" t="s">
        <v>77</v>
      </c>
      <c r="E9" s="5"/>
      <c r="F9" s="5"/>
      <c r="G9" s="5"/>
      <c r="H9" s="5"/>
      <c r="I9" s="5"/>
      <c r="J9" s="5"/>
      <c r="K9" s="5"/>
      <c r="L9" s="5"/>
      <c r="M9" s="5"/>
      <c r="N9" s="5"/>
      <c r="O9" s="30" t="s">
        <v>84</v>
      </c>
    </row>
    <row r="10" customFormat="false" ht="15" hidden="false" customHeight="false" outlineLevel="0" collapsed="false">
      <c r="A10" s="16" t="n">
        <v>5</v>
      </c>
      <c r="B10" s="17" t="s">
        <v>75</v>
      </c>
      <c r="C10" s="21" t="s">
        <v>85</v>
      </c>
      <c r="D10" s="16" t="s">
        <v>86</v>
      </c>
      <c r="E10" s="5"/>
      <c r="F10" s="5"/>
      <c r="G10" s="5"/>
      <c r="H10" s="5"/>
      <c r="I10" s="5"/>
      <c r="J10" s="5"/>
      <c r="K10" s="5"/>
      <c r="L10" s="5"/>
      <c r="M10" s="28" t="n">
        <v>24.6</v>
      </c>
      <c r="N10" s="5"/>
      <c r="O10" s="29" t="s">
        <v>87</v>
      </c>
    </row>
    <row r="11" customFormat="false" ht="26.1" hidden="false" customHeight="false" outlineLevel="0" collapsed="false">
      <c r="A11" s="16" t="n">
        <v>6</v>
      </c>
      <c r="B11" s="16" t="s">
        <v>17</v>
      </c>
      <c r="C11" s="20" t="s">
        <v>88</v>
      </c>
      <c r="D11" s="16" t="s">
        <v>89</v>
      </c>
      <c r="E11" s="31" t="s">
        <v>90</v>
      </c>
      <c r="F11" s="5"/>
      <c r="G11" s="31" t="s">
        <v>91</v>
      </c>
      <c r="H11" s="5"/>
      <c r="I11" s="31" t="s">
        <v>90</v>
      </c>
      <c r="J11" s="5"/>
      <c r="K11" s="31" t="s">
        <v>91</v>
      </c>
      <c r="L11" s="5"/>
      <c r="M11" s="31" t="s">
        <v>91</v>
      </c>
      <c r="N11" s="5"/>
      <c r="O11" s="29" t="s">
        <v>92</v>
      </c>
    </row>
    <row r="12" customFormat="false" ht="15" hidden="false" customHeight="false" outlineLevel="0" collapsed="false">
      <c r="A12" s="16" t="n">
        <v>7</v>
      </c>
      <c r="B12" s="16" t="s">
        <v>17</v>
      </c>
      <c r="C12" s="20" t="s">
        <v>93</v>
      </c>
      <c r="D12" s="16" t="s">
        <v>86</v>
      </c>
      <c r="E12" s="28" t="n">
        <v>0.5</v>
      </c>
      <c r="F12" s="5"/>
      <c r="G12" s="28" t="n">
        <v>0.5</v>
      </c>
      <c r="H12" s="5"/>
      <c r="I12" s="28" t="n">
        <v>0.5</v>
      </c>
      <c r="J12" s="5"/>
      <c r="K12" s="28" t="n">
        <v>0.5</v>
      </c>
      <c r="L12" s="5"/>
      <c r="M12" s="28" t="n">
        <v>0.5</v>
      </c>
      <c r="N12" s="5"/>
      <c r="O12" s="29"/>
    </row>
    <row r="13" customFormat="false" ht="25.35" hidden="false" customHeight="false" outlineLevel="0" collapsed="false">
      <c r="A13" s="16" t="n">
        <v>8</v>
      </c>
      <c r="B13" s="16" t="s">
        <v>17</v>
      </c>
      <c r="C13" s="20" t="s">
        <v>94</v>
      </c>
      <c r="D13" s="17" t="s">
        <v>95</v>
      </c>
      <c r="E13" s="28" t="n">
        <v>5</v>
      </c>
      <c r="F13" s="5"/>
      <c r="G13" s="28" t="n">
        <v>5</v>
      </c>
      <c r="H13" s="5"/>
      <c r="I13" s="28" t="n">
        <v>10</v>
      </c>
      <c r="J13" s="5"/>
      <c r="K13" s="28" t="n">
        <v>1</v>
      </c>
      <c r="L13" s="5"/>
      <c r="M13" s="28" t="n">
        <v>1</v>
      </c>
      <c r="N13" s="5"/>
      <c r="O13" s="29" t="s">
        <v>96</v>
      </c>
    </row>
    <row r="14" customFormat="false" ht="15" hidden="false" customHeight="false" outlineLevel="0" collapsed="false">
      <c r="A14" s="16" t="n">
        <v>9</v>
      </c>
      <c r="B14" s="16" t="s">
        <v>17</v>
      </c>
      <c r="C14" s="21" t="s">
        <v>97</v>
      </c>
      <c r="D14" s="16" t="s">
        <v>86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30" t="s">
        <v>98</v>
      </c>
    </row>
    <row r="15" customFormat="false" ht="15" hidden="false" customHeight="false" outlineLevel="0" collapsed="false">
      <c r="A15" s="16" t="n">
        <v>10</v>
      </c>
      <c r="B15" s="16" t="s">
        <v>17</v>
      </c>
      <c r="C15" s="20" t="s">
        <v>99</v>
      </c>
      <c r="D15" s="16" t="s">
        <v>86</v>
      </c>
      <c r="E15" s="28" t="n">
        <v>23.7</v>
      </c>
      <c r="F15" s="5"/>
      <c r="G15" s="28" t="n">
        <v>22.1</v>
      </c>
      <c r="H15" s="5"/>
      <c r="I15" s="28" t="n">
        <v>17.7</v>
      </c>
      <c r="J15" s="5"/>
      <c r="K15" s="28" t="n">
        <v>21.1</v>
      </c>
      <c r="L15" s="5"/>
      <c r="M15" s="28" t="n">
        <v>19.1</v>
      </c>
      <c r="N15" s="5"/>
      <c r="O15" s="29"/>
    </row>
    <row r="16" customFormat="false" ht="15" hidden="false" customHeight="false" outlineLevel="0" collapsed="false">
      <c r="A16" s="16" t="n">
        <v>11</v>
      </c>
      <c r="B16" s="16" t="s">
        <v>17</v>
      </c>
      <c r="C16" s="20" t="s">
        <v>100</v>
      </c>
      <c r="D16" s="16" t="s">
        <v>86</v>
      </c>
      <c r="E16" s="5"/>
      <c r="F16" s="5"/>
      <c r="G16" s="5"/>
      <c r="H16" s="5"/>
      <c r="I16" s="5"/>
      <c r="J16" s="5"/>
      <c r="K16" s="28" t="n">
        <v>21</v>
      </c>
      <c r="L16" s="5"/>
      <c r="M16" s="5"/>
      <c r="N16" s="5"/>
      <c r="O16" s="30" t="s">
        <v>101</v>
      </c>
    </row>
    <row r="17" customFormat="false" ht="15" hidden="false" customHeight="false" outlineLevel="0" collapsed="false">
      <c r="A17" s="16" t="n">
        <v>12</v>
      </c>
      <c r="B17" s="16" t="s">
        <v>17</v>
      </c>
      <c r="C17" s="21" t="s">
        <v>102</v>
      </c>
      <c r="D17" s="16" t="s">
        <v>86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30" t="s">
        <v>103</v>
      </c>
    </row>
    <row r="18" customFormat="false" ht="15" hidden="false" customHeight="false" outlineLevel="0" collapsed="false">
      <c r="A18" s="16" t="n">
        <v>13</v>
      </c>
      <c r="B18" s="16" t="s">
        <v>17</v>
      </c>
      <c r="C18" s="21" t="s">
        <v>104</v>
      </c>
      <c r="D18" s="16" t="s">
        <v>105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29" t="s">
        <v>106</v>
      </c>
    </row>
    <row r="19" customFormat="false" ht="15" hidden="false" customHeight="false" outlineLevel="0" collapsed="false">
      <c r="A19" s="16" t="n">
        <v>14</v>
      </c>
      <c r="B19" s="16" t="s">
        <v>17</v>
      </c>
      <c r="C19" s="20" t="s">
        <v>107</v>
      </c>
      <c r="D19" s="16" t="s">
        <v>89</v>
      </c>
      <c r="E19" s="31" t="s">
        <v>108</v>
      </c>
      <c r="F19" s="5"/>
      <c r="G19" s="31" t="s">
        <v>108</v>
      </c>
      <c r="H19" s="5"/>
      <c r="I19" s="31" t="s">
        <v>108</v>
      </c>
      <c r="J19" s="5"/>
      <c r="K19" s="31" t="s">
        <v>108</v>
      </c>
      <c r="L19" s="5"/>
      <c r="M19" s="31" t="s">
        <v>108</v>
      </c>
      <c r="N19" s="5"/>
      <c r="O19" s="29"/>
    </row>
    <row r="20" customFormat="false" ht="15" hidden="false" customHeight="false" outlineLevel="0" collapsed="false">
      <c r="A20" s="16" t="n">
        <v>15</v>
      </c>
      <c r="B20" s="16" t="s">
        <v>17</v>
      </c>
      <c r="C20" s="21" t="s">
        <v>109</v>
      </c>
      <c r="D20" s="17" t="s">
        <v>110</v>
      </c>
      <c r="E20" s="31" t="n">
        <v>0</v>
      </c>
      <c r="F20" s="5"/>
      <c r="G20" s="31" t="n">
        <v>0</v>
      </c>
      <c r="H20" s="5"/>
      <c r="I20" s="31" t="n">
        <v>6</v>
      </c>
      <c r="J20" s="5"/>
      <c r="K20" s="31" t="n">
        <v>8</v>
      </c>
      <c r="L20" s="5"/>
      <c r="M20" s="31" t="n">
        <v>5</v>
      </c>
      <c r="N20" s="5"/>
      <c r="O20" s="30" t="s">
        <v>111</v>
      </c>
    </row>
    <row r="21" customFormat="false" ht="15" hidden="false" customHeight="false" outlineLevel="0" collapsed="false">
      <c r="A21" s="16" t="n">
        <v>16</v>
      </c>
      <c r="B21" s="16" t="s">
        <v>17</v>
      </c>
      <c r="C21" s="21" t="s">
        <v>112</v>
      </c>
      <c r="D21" s="16" t="s">
        <v>113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29" t="s">
        <v>114</v>
      </c>
    </row>
    <row r="22" customFormat="false" ht="15" hidden="false" customHeight="false" outlineLevel="0" collapsed="false">
      <c r="A22" s="10" t="n">
        <v>17</v>
      </c>
      <c r="B22" s="32" t="s">
        <v>115</v>
      </c>
      <c r="C22" s="33" t="s">
        <v>116</v>
      </c>
      <c r="D22" s="10" t="s">
        <v>77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30" t="s">
        <v>117</v>
      </c>
    </row>
    <row r="23" customFormat="false" ht="15" hidden="false" customHeight="false" outlineLevel="0" collapsed="false">
      <c r="A23" s="10" t="n">
        <v>18</v>
      </c>
      <c r="B23" s="32" t="s">
        <v>115</v>
      </c>
      <c r="C23" s="33" t="s">
        <v>118</v>
      </c>
      <c r="D23" s="32" t="s">
        <v>119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30" t="s">
        <v>120</v>
      </c>
    </row>
    <row r="24" customFormat="false" ht="15" hidden="false" customHeight="false" outlineLevel="0" collapsed="false">
      <c r="A24" s="10" t="n">
        <v>19</v>
      </c>
      <c r="B24" s="32" t="s">
        <v>115</v>
      </c>
      <c r="C24" s="33" t="s">
        <v>121</v>
      </c>
      <c r="D24" s="10" t="s">
        <v>113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30" t="s">
        <v>122</v>
      </c>
    </row>
    <row r="25" customFormat="false" ht="15" hidden="false" customHeight="false" outlineLevel="0" collapsed="false">
      <c r="A25" s="10" t="n">
        <v>20</v>
      </c>
      <c r="B25" s="32" t="s">
        <v>115</v>
      </c>
      <c r="C25" s="33" t="s">
        <v>123</v>
      </c>
      <c r="D25" s="10" t="s">
        <v>124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30" t="s">
        <v>125</v>
      </c>
    </row>
    <row r="26" customFormat="false" ht="15" hidden="false" customHeight="false" outlineLevel="0" collapsed="false">
      <c r="A26" s="10" t="n">
        <v>21</v>
      </c>
      <c r="B26" s="32" t="s">
        <v>115</v>
      </c>
      <c r="C26" s="33" t="s">
        <v>126</v>
      </c>
      <c r="D26" s="10" t="s">
        <v>113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30" t="s">
        <v>127</v>
      </c>
    </row>
    <row r="27" customFormat="false" ht="15" hidden="false" customHeight="false" outlineLevel="0" collapsed="false">
      <c r="A27" s="10" t="n">
        <v>22</v>
      </c>
      <c r="B27" s="32" t="s">
        <v>115</v>
      </c>
      <c r="C27" s="33" t="s">
        <v>128</v>
      </c>
      <c r="D27" s="32" t="s">
        <v>129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30" t="s">
        <v>130</v>
      </c>
    </row>
    <row r="28" customFormat="false" ht="15" hidden="false" customHeight="false" outlineLevel="0" collapsed="false">
      <c r="A28" s="10" t="n">
        <v>23</v>
      </c>
      <c r="B28" s="32" t="s">
        <v>115</v>
      </c>
      <c r="C28" s="33" t="s">
        <v>131</v>
      </c>
      <c r="D28" s="32" t="s">
        <v>132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30" t="s">
        <v>133</v>
      </c>
    </row>
    <row r="29" customFormat="false" ht="15" hidden="false" customHeight="false" outlineLevel="0" collapsed="false">
      <c r="A29" s="10" t="n">
        <v>24</v>
      </c>
      <c r="B29" s="32" t="s">
        <v>115</v>
      </c>
      <c r="C29" s="34" t="s">
        <v>134</v>
      </c>
      <c r="D29" s="32" t="s">
        <v>119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30" t="s">
        <v>135</v>
      </c>
    </row>
    <row r="30" customFormat="false" ht="15" hidden="false" customHeight="false" outlineLevel="0" collapsed="false">
      <c r="A30" s="10" t="n">
        <v>25</v>
      </c>
      <c r="B30" s="32" t="s">
        <v>115</v>
      </c>
      <c r="C30" s="33" t="s">
        <v>136</v>
      </c>
      <c r="D30" s="10" t="s">
        <v>89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30" t="s">
        <v>137</v>
      </c>
    </row>
    <row r="31" customFormat="false" ht="15" hidden="false" customHeight="false" outlineLevel="0" collapsed="false">
      <c r="A31" s="10" t="n">
        <v>26</v>
      </c>
      <c r="B31" s="32" t="s">
        <v>115</v>
      </c>
      <c r="C31" s="33" t="s">
        <v>138</v>
      </c>
      <c r="D31" s="10" t="s">
        <v>139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30" t="s">
        <v>140</v>
      </c>
    </row>
    <row r="33" customFormat="false" ht="270.1" hidden="false" customHeight="false" outlineLevel="0" collapsed="false">
      <c r="A33" s="35" t="s">
        <v>141</v>
      </c>
    </row>
    <row r="35" customFormat="false" ht="15" hidden="false" customHeight="false" outlineLevel="0" collapsed="false">
      <c r="A35" s="36" t="s">
        <v>142</v>
      </c>
    </row>
    <row r="36" customFormat="false" ht="15" hidden="false" customHeight="false" outlineLevel="0" collapsed="false">
      <c r="A36" s="37" t="s">
        <v>143</v>
      </c>
    </row>
    <row r="37" customFormat="false" ht="36" hidden="false" customHeight="true" outlineLevel="0" collapsed="false">
      <c r="B37" s="15" t="s">
        <v>144</v>
      </c>
      <c r="C37" s="15" t="s">
        <v>145</v>
      </c>
      <c r="D37" s="15" t="s">
        <v>146</v>
      </c>
      <c r="E37" s="15" t="s">
        <v>147</v>
      </c>
      <c r="F37" s="15" t="s">
        <v>148</v>
      </c>
      <c r="G37" s="15" t="s">
        <v>149</v>
      </c>
      <c r="H37" s="15" t="s">
        <v>24</v>
      </c>
    </row>
    <row r="38" customFormat="false" ht="15" hidden="false" customHeight="false" outlineLevel="0" collapsed="false">
      <c r="B38" s="16" t="s">
        <v>150</v>
      </c>
      <c r="C38" s="38"/>
      <c r="D38" s="38"/>
      <c r="E38" s="38"/>
      <c r="F38" s="38"/>
      <c r="G38" s="5"/>
      <c r="H38" s="39"/>
    </row>
    <row r="39" customFormat="false" ht="15" hidden="false" customHeight="false" outlineLevel="0" collapsed="false">
      <c r="B39" s="16" t="s">
        <v>151</v>
      </c>
      <c r="C39" s="38"/>
      <c r="D39" s="38"/>
      <c r="E39" s="38"/>
      <c r="F39" s="38"/>
      <c r="G39" s="5"/>
      <c r="H39" s="39"/>
    </row>
    <row r="40" customFormat="false" ht="15" hidden="false" customHeight="false" outlineLevel="0" collapsed="false">
      <c r="B40" s="16" t="s">
        <v>152</v>
      </c>
      <c r="C40" s="38"/>
      <c r="D40" s="38"/>
      <c r="E40" s="38"/>
      <c r="F40" s="38"/>
      <c r="G40" s="5"/>
      <c r="H40" s="39"/>
    </row>
    <row r="41" customFormat="false" ht="15" hidden="false" customHeight="false" outlineLevel="0" collapsed="false">
      <c r="B41" s="16" t="s">
        <v>153</v>
      </c>
      <c r="C41" s="38"/>
      <c r="D41" s="38"/>
      <c r="E41" s="38"/>
      <c r="F41" s="38"/>
      <c r="G41" s="5"/>
      <c r="H41" s="39"/>
    </row>
    <row r="42" customFormat="false" ht="15" hidden="false" customHeight="false" outlineLevel="0" collapsed="false">
      <c r="B42" s="16" t="s">
        <v>154</v>
      </c>
      <c r="C42" s="38"/>
      <c r="D42" s="38"/>
      <c r="E42" s="38"/>
      <c r="F42" s="38"/>
      <c r="G42" s="5"/>
      <c r="H42" s="39"/>
    </row>
    <row r="43" customFormat="false" ht="15" hidden="false" customHeight="false" outlineLevel="0" collapsed="false">
      <c r="B43" s="16" t="s">
        <v>155</v>
      </c>
      <c r="C43" s="38"/>
      <c r="D43" s="38"/>
      <c r="E43" s="38"/>
      <c r="F43" s="38"/>
      <c r="G43" s="5"/>
      <c r="H43" s="39"/>
    </row>
    <row r="44" customFormat="false" ht="15" hidden="false" customHeight="false" outlineLevel="0" collapsed="false">
      <c r="B44" s="16" t="s">
        <v>156</v>
      </c>
      <c r="C44" s="38"/>
      <c r="D44" s="38"/>
      <c r="E44" s="38"/>
      <c r="F44" s="38"/>
      <c r="G44" s="5"/>
      <c r="H44" s="39"/>
    </row>
    <row r="45" customFormat="false" ht="15" hidden="false" customHeight="false" outlineLevel="0" collapsed="false">
      <c r="B45" s="16" t="s">
        <v>157</v>
      </c>
      <c r="C45" s="38"/>
      <c r="D45" s="38"/>
      <c r="E45" s="38"/>
      <c r="F45" s="38"/>
      <c r="G45" s="5"/>
      <c r="H45" s="39"/>
    </row>
    <row r="46" customFormat="false" ht="15" hidden="false" customHeight="false" outlineLevel="0" collapsed="false">
      <c r="B46" s="16" t="s">
        <v>158</v>
      </c>
      <c r="C46" s="38"/>
      <c r="D46" s="38"/>
      <c r="E46" s="38"/>
      <c r="F46" s="38"/>
      <c r="G46" s="5"/>
      <c r="H46" s="39"/>
    </row>
    <row r="47" customFormat="false" ht="15" hidden="false" customHeight="false" outlineLevel="0" collapsed="false">
      <c r="B47" s="16" t="s">
        <v>159</v>
      </c>
      <c r="C47" s="38"/>
      <c r="D47" s="38"/>
      <c r="E47" s="38"/>
      <c r="F47" s="38"/>
      <c r="G47" s="5"/>
      <c r="H47" s="39"/>
    </row>
    <row r="48" customFormat="false" ht="15" hidden="false" customHeight="false" outlineLevel="0" collapsed="false">
      <c r="B48" s="16" t="s">
        <v>160</v>
      </c>
      <c r="C48" s="38"/>
      <c r="D48" s="38"/>
      <c r="E48" s="38"/>
      <c r="F48" s="38"/>
      <c r="G48" s="5"/>
      <c r="H48" s="39"/>
    </row>
    <row r="49" customFormat="false" ht="15" hidden="false" customHeight="false" outlineLevel="0" collapsed="false">
      <c r="B49" s="16" t="s">
        <v>161</v>
      </c>
      <c r="C49" s="38"/>
      <c r="D49" s="38"/>
      <c r="E49" s="38"/>
      <c r="F49" s="38"/>
      <c r="G49" s="5"/>
      <c r="H49" s="39"/>
    </row>
    <row r="50" customFormat="false" ht="15" hidden="false" customHeight="false" outlineLevel="0" collapsed="false">
      <c r="B50" s="16" t="s">
        <v>162</v>
      </c>
      <c r="C50" s="38"/>
      <c r="D50" s="38"/>
      <c r="E50" s="38"/>
      <c r="F50" s="38"/>
      <c r="G50" s="5"/>
      <c r="H50" s="39"/>
    </row>
    <row r="51" customFormat="false" ht="15" hidden="false" customHeight="false" outlineLevel="0" collapsed="false">
      <c r="B51" s="16" t="s">
        <v>163</v>
      </c>
      <c r="C51" s="38"/>
      <c r="D51" s="38"/>
      <c r="E51" s="38"/>
      <c r="F51" s="38"/>
      <c r="G51" s="5"/>
      <c r="H51" s="39"/>
    </row>
    <row r="52" customFormat="false" ht="15" hidden="false" customHeight="false" outlineLevel="0" collapsed="false">
      <c r="B52" s="16" t="s">
        <v>164</v>
      </c>
      <c r="C52" s="38"/>
      <c r="D52" s="38"/>
      <c r="E52" s="38"/>
      <c r="F52" s="38"/>
      <c r="G52" s="5"/>
      <c r="H52" s="39"/>
    </row>
    <row r="53" customFormat="false" ht="15" hidden="false" customHeight="false" outlineLevel="0" collapsed="false">
      <c r="B53" s="16" t="s">
        <v>165</v>
      </c>
      <c r="C53" s="38"/>
      <c r="D53" s="38"/>
      <c r="E53" s="38"/>
      <c r="F53" s="38"/>
      <c r="G53" s="5"/>
      <c r="H53" s="39"/>
    </row>
    <row r="54" customFormat="false" ht="15" hidden="false" customHeight="false" outlineLevel="0" collapsed="false">
      <c r="B54" s="16" t="s">
        <v>166</v>
      </c>
      <c r="C54" s="38"/>
      <c r="D54" s="38"/>
      <c r="E54" s="38"/>
      <c r="F54" s="38"/>
      <c r="G54" s="5"/>
      <c r="H54" s="39"/>
    </row>
    <row r="55" customFormat="false" ht="15" hidden="false" customHeight="false" outlineLevel="0" collapsed="false">
      <c r="B55" s="5"/>
      <c r="C55" s="38"/>
      <c r="D55" s="38"/>
      <c r="E55" s="38"/>
      <c r="F55" s="38"/>
      <c r="G55" s="5"/>
      <c r="H55" s="39"/>
    </row>
    <row r="56" customFormat="false" ht="15" hidden="false" customHeight="false" outlineLevel="0" collapsed="false">
      <c r="B56" s="5"/>
      <c r="C56" s="38"/>
      <c r="D56" s="38"/>
      <c r="E56" s="38"/>
      <c r="F56" s="38"/>
      <c r="G56" s="5"/>
      <c r="H56" s="39"/>
    </row>
    <row r="57" customFormat="false" ht="15" hidden="false" customHeight="false" outlineLevel="0" collapsed="false">
      <c r="B57" s="4" t="s">
        <v>167</v>
      </c>
      <c r="C57" s="40" t="str">
        <f aca="false">IF(COUNT(C38:C56)=0,"",MAX(C38:C56))</f>
        <v/>
      </c>
      <c r="D57" s="40" t="str">
        <f aca="false">IF(COUNT(D38:D56)=0,"",MAX(D38:D56))</f>
        <v/>
      </c>
      <c r="E57" s="40" t="str">
        <f aca="false">IF(COUNT(E38:E56)=0,"",MAX(E38:E56))</f>
        <v/>
      </c>
      <c r="F57" s="40" t="str">
        <f aca="false">IF(COUNT(F38:F56)=0,"",MAX(F38:F56))</f>
        <v/>
      </c>
      <c r="G57" s="16"/>
      <c r="H57" s="16"/>
    </row>
    <row r="58" customFormat="false" ht="15" hidden="false" customHeight="false" outlineLevel="0" collapsed="false">
      <c r="B58" s="4" t="s">
        <v>168</v>
      </c>
      <c r="C58" s="40" t="str">
        <f aca="false">IF(COUNT(C38:C56)=0,"",MIN(C38:C56))</f>
        <v/>
      </c>
      <c r="D58" s="40" t="str">
        <f aca="false">IF(COUNT(D38:D56)=0,"",MIN(D38:D56))</f>
        <v/>
      </c>
      <c r="E58" s="40" t="str">
        <f aca="false">IF(COUNT(E38:E56)=0,"",MIN(E38:E56))</f>
        <v/>
      </c>
      <c r="F58" s="40" t="str">
        <f aca="false">IF(COUNT(F38:F56)=0,"",MIN(F38:F56))</f>
        <v/>
      </c>
      <c r="G58" s="16"/>
      <c r="H58" s="16"/>
    </row>
    <row r="59" customFormat="false" ht="15" hidden="false" customHeight="false" outlineLevel="0" collapsed="false">
      <c r="B59" s="4" t="s">
        <v>169</v>
      </c>
      <c r="C59" s="40" t="str">
        <f aca="false">IF(COUNT(C38:C56)=0,"",AVERAGE(C38:C56))</f>
        <v/>
      </c>
      <c r="D59" s="40" t="str">
        <f aca="false">IF(COUNT(D38:D56)=0,"",AVERAGE(D38:D56))</f>
        <v/>
      </c>
      <c r="E59" s="40" t="str">
        <f aca="false">IF(COUNT(E38:E56)=0,"",AVERAGE(E38:E56))</f>
        <v/>
      </c>
      <c r="F59" s="40" t="str">
        <f aca="false">IF(COUNT(F38:F56)=0,"",AVERAGE(F38:F56))</f>
        <v/>
      </c>
      <c r="G59" s="16"/>
      <c r="H59" s="16"/>
    </row>
    <row r="60" customFormat="false" ht="37.3" hidden="false" customHeight="true" outlineLevel="0" collapsed="false">
      <c r="B60" s="4" t="s">
        <v>170</v>
      </c>
      <c r="C60" s="38"/>
      <c r="D60" s="41"/>
      <c r="E60" s="38"/>
      <c r="F60" s="42" t="s">
        <v>171</v>
      </c>
      <c r="G60" s="42"/>
      <c r="H60" s="42"/>
    </row>
  </sheetData>
  <mergeCells count="13">
    <mergeCell ref="A1:O1"/>
    <mergeCell ref="A2:O2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O5"/>
    <mergeCell ref="F60:H60"/>
  </mergeCell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8" min="2" style="0" width="10"/>
    <col collapsed="false" customWidth="true" hidden="false" outlineLevel="0" max="9" min="9" style="0" width="11"/>
    <col collapsed="false" customWidth="true" hidden="false" outlineLevel="0" max="12" min="10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26"/>
  </cols>
  <sheetData>
    <row r="1" customFormat="false" ht="25.5" hidden="false" customHeight="true" outlineLevel="0" collapsed="false">
      <c r="A1" s="23" t="s">
        <v>172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customFormat="false" ht="30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4.6" hidden="false" customHeight="false" outlineLevel="0" collapsed="false">
      <c r="A3" s="4" t="s">
        <v>174</v>
      </c>
      <c r="B3" s="43" t="s">
        <v>175</v>
      </c>
      <c r="C3" s="31" t="n">
        <v>2</v>
      </c>
      <c r="D3" s="43" t="s">
        <v>176</v>
      </c>
      <c r="E3" s="31" t="n">
        <v>5</v>
      </c>
      <c r="F3" s="37" t="s">
        <v>177</v>
      </c>
    </row>
    <row r="5" customFormat="false" ht="39.75" hidden="false" customHeight="true" outlineLevel="0" collapsed="false">
      <c r="A5" s="14" t="s">
        <v>17</v>
      </c>
      <c r="B5" s="15" t="s">
        <v>178</v>
      </c>
      <c r="C5" s="15" t="s">
        <v>179</v>
      </c>
      <c r="D5" s="14" t="s">
        <v>180</v>
      </c>
      <c r="E5" s="14" t="s">
        <v>181</v>
      </c>
      <c r="F5" s="14" t="s">
        <v>182</v>
      </c>
      <c r="G5" s="14" t="s">
        <v>183</v>
      </c>
      <c r="H5" s="14" t="s">
        <v>184</v>
      </c>
      <c r="I5" s="14" t="s">
        <v>185</v>
      </c>
      <c r="J5" s="15" t="s">
        <v>186</v>
      </c>
      <c r="K5" s="15" t="s">
        <v>187</v>
      </c>
      <c r="L5" s="15" t="s">
        <v>188</v>
      </c>
      <c r="M5" s="15" t="s">
        <v>189</v>
      </c>
      <c r="N5" s="15" t="s">
        <v>190</v>
      </c>
      <c r="O5" s="15" t="s">
        <v>191</v>
      </c>
      <c r="P5" s="15" t="s">
        <v>24</v>
      </c>
    </row>
    <row r="6" customFormat="false" ht="15" hidden="false" customHeight="false" outlineLevel="0" collapsed="false">
      <c r="A6" s="44" t="s">
        <v>30</v>
      </c>
      <c r="B6" s="45" t="s">
        <v>192</v>
      </c>
      <c r="C6" s="46"/>
      <c r="D6" s="45" t="s">
        <v>193</v>
      </c>
      <c r="E6" s="44" t="n">
        <v>0</v>
      </c>
      <c r="F6" s="44" t="n">
        <v>0</v>
      </c>
      <c r="G6" s="44" t="n">
        <v>0</v>
      </c>
      <c r="H6" s="45" t="s">
        <v>193</v>
      </c>
      <c r="I6" s="45" t="s">
        <v>194</v>
      </c>
      <c r="J6" s="45" t="s">
        <v>195</v>
      </c>
      <c r="K6" s="45" t="s">
        <v>196</v>
      </c>
      <c r="L6" s="45" t="s">
        <v>196</v>
      </c>
      <c r="M6" s="44" t="s">
        <v>197</v>
      </c>
      <c r="N6" s="9" t="str">
        <f aca="false">IF(COUNTA(D6,H6,I6)&lt;3,"",IF(AND(D6="열림",H6="열림",I6="닫힘"),"정상",IF(I6&lt;&gt;"닫힘","바이패스 개방!","게이트 확인")))</f>
        <v>정상</v>
      </c>
      <c r="O6" s="9" t="str">
        <f aca="false">IF(F6="","",IF(B6="전기모드",IF(F6&lt;=$C$3,"정상(닫힘)","패싱/미닫힘 확인"),IF(E6="","",IF(ABS(E6-F6)&lt;=$E$3,"정상","지령-피드백 편차"))))</f>
        <v>정상(닫힘)</v>
      </c>
      <c r="P6" s="47" t="s">
        <v>198</v>
      </c>
    </row>
    <row r="7" customFormat="false" ht="15" hidden="false" customHeight="false" outlineLevel="0" collapsed="false">
      <c r="A7" s="16" t="s">
        <v>25</v>
      </c>
      <c r="B7" s="17" t="s">
        <v>192</v>
      </c>
      <c r="C7" s="48"/>
      <c r="D7" s="5"/>
      <c r="E7" s="5"/>
      <c r="F7" s="5"/>
      <c r="G7" s="5"/>
      <c r="H7" s="5"/>
      <c r="I7" s="5"/>
      <c r="J7" s="5"/>
      <c r="K7" s="5"/>
      <c r="L7" s="5"/>
      <c r="M7" s="5"/>
      <c r="N7" s="9" t="str">
        <f aca="false">IF(COUNTA(D7,H7,I7)&lt;3,"",IF(AND(D7="열림",H7="열림",I7="닫힘"),"정상",IF(I7&lt;&gt;"닫힘","바이패스 개방!","게이트 확인")))</f>
        <v/>
      </c>
      <c r="O7" s="9" t="str">
        <f aca="false">IF(F7="","",IF(B7="전기모드",IF(F7&lt;=$C$3,"정상(닫힘)","패싱/미닫힘 확인"),IF(E7="","",IF(ABS(E7-F7)&lt;=$E$3,"정상","지령-피드백 편차"))))</f>
        <v/>
      </c>
      <c r="P7" s="39"/>
    </row>
    <row r="8" customFormat="false" ht="15" hidden="false" customHeight="false" outlineLevel="0" collapsed="false">
      <c r="A8" s="16" t="s">
        <v>25</v>
      </c>
      <c r="B8" s="17" t="s">
        <v>199</v>
      </c>
      <c r="C8" s="48"/>
      <c r="D8" s="5"/>
      <c r="E8" s="5"/>
      <c r="F8" s="5"/>
      <c r="G8" s="5"/>
      <c r="H8" s="5"/>
      <c r="I8" s="5"/>
      <c r="J8" s="5"/>
      <c r="K8" s="5"/>
      <c r="L8" s="5"/>
      <c r="M8" s="5"/>
      <c r="N8" s="9" t="str">
        <f aca="false">IF(COUNTA(D8,H8,I8)&lt;3,"",IF(AND(D8="열림",H8="열림",I8="닫힘"),"정상",IF(I8&lt;&gt;"닫힘","바이패스 개방!","게이트 확인")))</f>
        <v/>
      </c>
      <c r="O8" s="9" t="str">
        <f aca="false">IF(F8="","",IF(B8="전기모드",IF(F8&lt;=$C$3,"정상(닫힘)","패싱/미닫힘 확인"),IF(E8="","",IF(ABS(E8-F8)&lt;=$E$3,"정상","지령-피드백 편차"))))</f>
        <v/>
      </c>
      <c r="P8" s="39"/>
    </row>
    <row r="9" customFormat="false" ht="15" hidden="false" customHeight="false" outlineLevel="0" collapsed="false">
      <c r="A9" s="16" t="s">
        <v>28</v>
      </c>
      <c r="B9" s="17" t="s">
        <v>192</v>
      </c>
      <c r="C9" s="48"/>
      <c r="D9" s="5"/>
      <c r="E9" s="5"/>
      <c r="F9" s="5"/>
      <c r="G9" s="5"/>
      <c r="H9" s="5"/>
      <c r="I9" s="5"/>
      <c r="J9" s="5"/>
      <c r="K9" s="5"/>
      <c r="L9" s="5"/>
      <c r="M9" s="5"/>
      <c r="N9" s="9" t="str">
        <f aca="false">IF(COUNTA(D9,H9,I9)&lt;3,"",IF(AND(D9="열림",H9="열림",I9="닫힘"),"정상",IF(I9&lt;&gt;"닫힘","바이패스 개방!","게이트 확인")))</f>
        <v/>
      </c>
      <c r="O9" s="9" t="str">
        <f aca="false">IF(F9="","",IF(B9="전기모드",IF(F9&lt;=$C$3,"정상(닫힘)","패싱/미닫힘 확인"),IF(E9="","",IF(ABS(E9-F9)&lt;=$E$3,"정상","지령-피드백 편차"))))</f>
        <v/>
      </c>
      <c r="P9" s="39"/>
    </row>
    <row r="10" customFormat="false" ht="15" hidden="false" customHeight="false" outlineLevel="0" collapsed="false">
      <c r="A10" s="16" t="s">
        <v>28</v>
      </c>
      <c r="B10" s="17" t="s">
        <v>199</v>
      </c>
      <c r="C10" s="48"/>
      <c r="D10" s="5"/>
      <c r="E10" s="5"/>
      <c r="F10" s="5"/>
      <c r="G10" s="5"/>
      <c r="H10" s="5"/>
      <c r="I10" s="5"/>
      <c r="J10" s="5"/>
      <c r="K10" s="5"/>
      <c r="L10" s="5"/>
      <c r="M10" s="5"/>
      <c r="N10" s="9" t="str">
        <f aca="false">IF(COUNTA(D10,H10,I10)&lt;3,"",IF(AND(D10="열림",H10="열림",I10="닫힘"),"정상",IF(I10&lt;&gt;"닫힘","바이패스 개방!","게이트 확인")))</f>
        <v/>
      </c>
      <c r="O10" s="9" t="str">
        <f aca="false">IF(F10="","",IF(B10="전기모드",IF(F10&lt;=$C$3,"정상(닫힘)","패싱/미닫힘 확인"),IF(E10="","",IF(ABS(E10-F10)&lt;=$E$3,"정상","지령-피드백 편차"))))</f>
        <v/>
      </c>
      <c r="P10" s="39"/>
    </row>
    <row r="11" customFormat="false" ht="15" hidden="false" customHeight="false" outlineLevel="0" collapsed="false">
      <c r="A11" s="16" t="s">
        <v>30</v>
      </c>
      <c r="B11" s="17" t="s">
        <v>192</v>
      </c>
      <c r="C11" s="48"/>
      <c r="D11" s="5"/>
      <c r="E11" s="5"/>
      <c r="F11" s="5"/>
      <c r="G11" s="5"/>
      <c r="H11" s="5"/>
      <c r="I11" s="5"/>
      <c r="J11" s="5"/>
      <c r="K11" s="5"/>
      <c r="L11" s="5"/>
      <c r="M11" s="5"/>
      <c r="N11" s="9" t="str">
        <f aca="false">IF(COUNTA(D11,H11,I11)&lt;3,"",IF(AND(D11="열림",H11="열림",I11="닫힘"),"정상",IF(I11&lt;&gt;"닫힘","바이패스 개방!","게이트 확인")))</f>
        <v/>
      </c>
      <c r="O11" s="9" t="str">
        <f aca="false">IF(F11="","",IF(B11="전기모드",IF(F11&lt;=$C$3,"정상(닫힘)","패싱/미닫힘 확인"),IF(E11="","",IF(ABS(E11-F11)&lt;=$E$3,"정상","지령-피드백 편차"))))</f>
        <v/>
      </c>
      <c r="P11" s="39"/>
    </row>
    <row r="12" customFormat="false" ht="15" hidden="false" customHeight="false" outlineLevel="0" collapsed="false">
      <c r="A12" s="16" t="s">
        <v>30</v>
      </c>
      <c r="B12" s="17" t="s">
        <v>199</v>
      </c>
      <c r="C12" s="48"/>
      <c r="D12" s="5"/>
      <c r="E12" s="5"/>
      <c r="F12" s="5"/>
      <c r="G12" s="5"/>
      <c r="H12" s="5"/>
      <c r="I12" s="5"/>
      <c r="J12" s="5"/>
      <c r="K12" s="5"/>
      <c r="L12" s="5"/>
      <c r="M12" s="5"/>
      <c r="N12" s="9" t="str">
        <f aca="false">IF(COUNTA(D12,H12,I12)&lt;3,"",IF(AND(D12="열림",H12="열림",I12="닫힘"),"정상",IF(I12&lt;&gt;"닫힘","바이패스 개방!","게이트 확인")))</f>
        <v/>
      </c>
      <c r="O12" s="9" t="str">
        <f aca="false">IF(F12="","",IF(B12="전기모드",IF(F12&lt;=$C$3,"정상(닫힘)","패싱/미닫힘 확인"),IF(E12="","",IF(ABS(E12-F12)&lt;=$E$3,"정상","지령-피드백 편차"))))</f>
        <v/>
      </c>
      <c r="P12" s="39"/>
    </row>
    <row r="13" customFormat="false" ht="15" hidden="false" customHeight="false" outlineLevel="0" collapsed="false">
      <c r="A13" s="16" t="s">
        <v>31</v>
      </c>
      <c r="B13" s="17" t="s">
        <v>192</v>
      </c>
      <c r="C13" s="48"/>
      <c r="D13" s="5"/>
      <c r="E13" s="5"/>
      <c r="F13" s="5"/>
      <c r="G13" s="5"/>
      <c r="H13" s="5"/>
      <c r="I13" s="5"/>
      <c r="J13" s="5"/>
      <c r="K13" s="5"/>
      <c r="L13" s="5"/>
      <c r="M13" s="5"/>
      <c r="N13" s="9" t="str">
        <f aca="false">IF(COUNTA(D13,H13,I13)&lt;3,"",IF(AND(D13="열림",H13="열림",I13="닫힘"),"정상",IF(I13&lt;&gt;"닫힘","바이패스 개방!","게이트 확인")))</f>
        <v/>
      </c>
      <c r="O13" s="9" t="str">
        <f aca="false">IF(F13="","",IF(B13="전기모드",IF(F13&lt;=$C$3,"정상(닫힘)","패싱/미닫힘 확인"),IF(E13="","",IF(ABS(E13-F13)&lt;=$E$3,"정상","지령-피드백 편차"))))</f>
        <v/>
      </c>
      <c r="P13" s="39"/>
    </row>
    <row r="14" customFormat="false" ht="15" hidden="false" customHeight="false" outlineLevel="0" collapsed="false">
      <c r="A14" s="16" t="s">
        <v>31</v>
      </c>
      <c r="B14" s="17" t="s">
        <v>199</v>
      </c>
      <c r="C14" s="48"/>
      <c r="D14" s="5"/>
      <c r="E14" s="5"/>
      <c r="F14" s="5"/>
      <c r="G14" s="5"/>
      <c r="H14" s="5"/>
      <c r="I14" s="5"/>
      <c r="J14" s="5"/>
      <c r="K14" s="5"/>
      <c r="L14" s="5"/>
      <c r="M14" s="5"/>
      <c r="N14" s="9" t="str">
        <f aca="false">IF(COUNTA(D14,H14,I14)&lt;3,"",IF(AND(D14="열림",H14="열림",I14="닫힘"),"정상",IF(I14&lt;&gt;"닫힘","바이패스 개방!","게이트 확인")))</f>
        <v/>
      </c>
      <c r="O14" s="9" t="str">
        <f aca="false">IF(F14="","",IF(B14="전기모드",IF(F14&lt;=$C$3,"정상(닫힘)","패싱/미닫힘 확인"),IF(E14="","",IF(ABS(E14-F14)&lt;=$E$3,"정상","지령-피드백 편차"))))</f>
        <v/>
      </c>
      <c r="P14" s="39"/>
    </row>
    <row r="15" customFormat="false" ht="15" hidden="false" customHeight="false" outlineLevel="0" collapsed="false">
      <c r="A15" s="16" t="s">
        <v>33</v>
      </c>
      <c r="B15" s="17" t="s">
        <v>192</v>
      </c>
      <c r="C15" s="48"/>
      <c r="D15" s="5"/>
      <c r="E15" s="5"/>
      <c r="F15" s="5"/>
      <c r="G15" s="5"/>
      <c r="H15" s="5"/>
      <c r="I15" s="5"/>
      <c r="J15" s="5"/>
      <c r="K15" s="5"/>
      <c r="L15" s="5"/>
      <c r="M15" s="5"/>
      <c r="N15" s="9" t="str">
        <f aca="false">IF(COUNTA(D15,H15,I15)&lt;3,"",IF(AND(D15="열림",H15="열림",I15="닫힘"),"정상",IF(I15&lt;&gt;"닫힘","바이패스 개방!","게이트 확인")))</f>
        <v/>
      </c>
      <c r="O15" s="9" t="str">
        <f aca="false">IF(F15="","",IF(B15="전기모드",IF(F15&lt;=$C$3,"정상(닫힘)","패싱/미닫힘 확인"),IF(E15="","",IF(ABS(E15-F15)&lt;=$E$3,"정상","지령-피드백 편차"))))</f>
        <v/>
      </c>
      <c r="P15" s="39"/>
    </row>
    <row r="16" customFormat="false" ht="15" hidden="false" customHeight="false" outlineLevel="0" collapsed="false">
      <c r="A16" s="16" t="s">
        <v>33</v>
      </c>
      <c r="B16" s="17" t="s">
        <v>199</v>
      </c>
      <c r="C16" s="48"/>
      <c r="D16" s="5"/>
      <c r="E16" s="5"/>
      <c r="F16" s="5"/>
      <c r="G16" s="5"/>
      <c r="H16" s="5"/>
      <c r="I16" s="5"/>
      <c r="J16" s="5"/>
      <c r="K16" s="5"/>
      <c r="L16" s="5"/>
      <c r="M16" s="5"/>
      <c r="N16" s="9" t="str">
        <f aca="false">IF(COUNTA(D16,H16,I16)&lt;3,"",IF(AND(D16="열림",H16="열림",I16="닫힘"),"정상",IF(I16&lt;&gt;"닫힘","바이패스 개방!","게이트 확인")))</f>
        <v/>
      </c>
      <c r="O16" s="9" t="str">
        <f aca="false">IF(F16="","",IF(B16="전기모드",IF(F16&lt;=$C$3,"정상(닫힘)","패싱/미닫힘 확인"),IF(E16="","",IF(ABS(E16-F16)&lt;=$E$3,"정상","지령-피드백 편차"))))</f>
        <v/>
      </c>
      <c r="P16" s="39"/>
    </row>
    <row r="19" customFormat="false" ht="15" hidden="false" customHeight="false" outlineLevel="0" collapsed="false">
      <c r="A19" s="36" t="s">
        <v>200</v>
      </c>
    </row>
    <row r="20" customFormat="false" ht="39.75" hidden="false" customHeight="true" outlineLevel="0" collapsed="false">
      <c r="A20" s="14" t="s">
        <v>17</v>
      </c>
      <c r="B20" s="15" t="s">
        <v>201</v>
      </c>
      <c r="C20" s="15" t="s">
        <v>202</v>
      </c>
      <c r="D20" s="15" t="s">
        <v>203</v>
      </c>
      <c r="E20" s="15" t="s">
        <v>204</v>
      </c>
      <c r="F20" s="14" t="s">
        <v>205</v>
      </c>
      <c r="G20" s="15" t="s">
        <v>206</v>
      </c>
      <c r="H20" s="15" t="s">
        <v>207</v>
      </c>
      <c r="I20" s="15" t="s">
        <v>208</v>
      </c>
      <c r="J20" s="15" t="s">
        <v>209</v>
      </c>
      <c r="K20" s="14" t="s">
        <v>210</v>
      </c>
      <c r="L20" s="14" t="s">
        <v>211</v>
      </c>
      <c r="M20" s="15" t="s">
        <v>212</v>
      </c>
      <c r="N20" s="15" t="s">
        <v>213</v>
      </c>
      <c r="O20" s="14"/>
      <c r="P20" s="15" t="s">
        <v>24</v>
      </c>
    </row>
    <row r="21" customFormat="false" ht="15" hidden="false" customHeight="false" outlineLevel="0" collapsed="false">
      <c r="A21" s="16" t="s">
        <v>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49" t="str">
        <f aca="false">IF(OR(G21="",H21=""),"",(H21-G21)/G21)</f>
        <v/>
      </c>
      <c r="N21" s="9" t="str">
        <f aca="false">IF(M21="","",IF(ABS(M21)&lt;=0.2,"정상","스트로크 점검"))</f>
        <v/>
      </c>
      <c r="O21" s="16"/>
      <c r="P21" s="5"/>
    </row>
    <row r="22" customFormat="false" ht="15" hidden="false" customHeight="false" outlineLevel="0" collapsed="false">
      <c r="A22" s="16" t="s">
        <v>28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49" t="str">
        <f aca="false">IF(OR(G22="",H22=""),"",(H22-G22)/G22)</f>
        <v/>
      </c>
      <c r="N22" s="9" t="str">
        <f aca="false">IF(M22="","",IF(ABS(M22)&lt;=0.2,"정상","스트로크 점검"))</f>
        <v/>
      </c>
      <c r="O22" s="16"/>
      <c r="P22" s="5"/>
    </row>
    <row r="23" customFormat="false" ht="15" hidden="false" customHeight="false" outlineLevel="0" collapsed="false">
      <c r="A23" s="16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9" t="str">
        <f aca="false">IF(OR(G23="",H23=""),"",(H23-G23)/G23)</f>
        <v/>
      </c>
      <c r="N23" s="9" t="str">
        <f aca="false">IF(M23="","",IF(ABS(M23)&lt;=0.2,"정상","스트로크 점검"))</f>
        <v/>
      </c>
      <c r="O23" s="16"/>
      <c r="P23" s="5"/>
    </row>
    <row r="24" customFormat="false" ht="15" hidden="false" customHeight="false" outlineLevel="0" collapsed="false">
      <c r="A24" s="16" t="s">
        <v>31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49" t="str">
        <f aca="false">IF(OR(G24="",H24=""),"",(H24-G24)/G24)</f>
        <v/>
      </c>
      <c r="N24" s="9" t="str">
        <f aca="false">IF(M24="","",IF(ABS(M24)&lt;=0.2,"정상","스트로크 점검"))</f>
        <v/>
      </c>
      <c r="O24" s="16"/>
      <c r="P24" s="5"/>
    </row>
    <row r="25" customFormat="false" ht="15" hidden="false" customHeight="false" outlineLevel="0" collapsed="false">
      <c r="A25" s="16" t="s">
        <v>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49" t="str">
        <f aca="false">IF(OR(G25="",H25=""),"",(H25-G25)/G25)</f>
        <v/>
      </c>
      <c r="N25" s="9" t="str">
        <f aca="false">IF(M25="","",IF(ABS(M25)&lt;=0.2,"정상","스트로크 점검"))</f>
        <v/>
      </c>
      <c r="O25" s="16"/>
      <c r="P25" s="5"/>
    </row>
    <row r="26" customFormat="false" ht="15" hidden="false" customHeight="false" outlineLevel="0" collapsed="false">
      <c r="A26" s="37" t="s">
        <v>214</v>
      </c>
    </row>
  </sheetData>
  <mergeCells count="2">
    <mergeCell ref="A1:P1"/>
    <mergeCell ref="A2:P2"/>
  </mergeCells>
  <dataValidations count="6">
    <dataValidation allowBlank="true" errorStyle="stop" operator="between" showDropDown="false" showErrorMessage="false" showInputMessage="false" sqref="A7:A21" type="list">
      <formula1>"AHU-G203,AHU-G204,AHU-G213,AHU-G301,AHU-G107"</formula1>
      <formula2>0</formula2>
    </dataValidation>
    <dataValidation allowBlank="true" errorStyle="stop" operator="between" showDropDown="false" showErrorMessage="false" showInputMessage="false" sqref="B7:B21" type="list">
      <formula1>"전기모드,스팀모드,전환중"</formula1>
      <formula2>0</formula2>
    </dataValidation>
    <dataValidation allowBlank="true" errorStyle="stop" operator="between" showDropDown="false" showErrorMessage="false" showInputMessage="false" sqref="D6:D16 H6:I16" type="list">
      <formula1>"열림,닫힘,중간"</formula1>
      <formula2>0</formula2>
    </dataValidation>
    <dataValidation allowBlank="true" errorStyle="stop" operator="between" showDropDown="false" showErrorMessage="false" showInputMessage="false" sqref="J6:J16" type="list">
      <formula1>"자동,수동"</formula1>
      <formula2>0</formula2>
    </dataValidation>
    <dataValidation allowBlank="true" errorStyle="stop" operator="between" showDropDown="false" showErrorMessage="false" showInputMessage="false" sqref="K6:L16" type="list">
      <formula1>"정상,불량,누설,막힘,미확인"</formula1>
      <formula2>0</formula2>
    </dataValidation>
    <dataValidation allowBlank="true" errorStyle="stop" operator="between" showDropDown="false" showErrorMessage="false" showInputMessage="false" sqref="F21:F25" type="list">
      <formula1>"NC,NO,Last"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11" min="4" style="0" width="9.51"/>
    <col collapsed="false" customWidth="true" hidden="false" outlineLevel="0" max="21" min="12" style="0" width="9"/>
    <col collapsed="false" customWidth="true" hidden="false" outlineLevel="0" max="22" min="22" style="0" width="22"/>
  </cols>
  <sheetData>
    <row r="1" customFormat="false" ht="25.5" hidden="false" customHeight="true" outlineLevel="0" collapsed="false">
      <c r="A1" s="23" t="s">
        <v>215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customFormat="false" ht="30" hidden="false" customHeight="true" outlineLevel="0" collapsed="false">
      <c r="A2" s="24" t="s">
        <v>216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customFormat="false" ht="15" hidden="false" customHeight="true" outlineLevel="0" collapsed="false">
      <c r="A3" s="27" t="s">
        <v>217</v>
      </c>
      <c r="B3" s="27"/>
      <c r="C3" s="50" t="n">
        <v>30</v>
      </c>
      <c r="D3" s="37" t="s">
        <v>218</v>
      </c>
    </row>
    <row r="5" customFormat="false" ht="15" hidden="false" customHeight="false" outlineLevel="0" collapsed="false">
      <c r="A5" s="36" t="s">
        <v>219</v>
      </c>
    </row>
    <row r="6" customFormat="false" ht="54" hidden="false" customHeight="true" outlineLevel="0" collapsed="false">
      <c r="A6" s="14" t="s">
        <v>17</v>
      </c>
      <c r="B6" s="15" t="s">
        <v>220</v>
      </c>
      <c r="C6" s="15" t="s">
        <v>221</v>
      </c>
      <c r="D6" s="14" t="s">
        <v>222</v>
      </c>
      <c r="E6" s="14" t="s">
        <v>223</v>
      </c>
      <c r="F6" s="14" t="s">
        <v>224</v>
      </c>
      <c r="G6" s="14" t="s">
        <v>225</v>
      </c>
      <c r="H6" s="14" t="s">
        <v>226</v>
      </c>
      <c r="I6" s="14" t="s">
        <v>227</v>
      </c>
      <c r="J6" s="14" t="s">
        <v>228</v>
      </c>
      <c r="K6" s="14" t="s">
        <v>229</v>
      </c>
      <c r="L6" s="51" t="s">
        <v>230</v>
      </c>
      <c r="M6" s="51" t="s">
        <v>231</v>
      </c>
      <c r="N6" s="51" t="s">
        <v>232</v>
      </c>
      <c r="O6" s="51" t="s">
        <v>233</v>
      </c>
      <c r="P6" s="51" t="s">
        <v>234</v>
      </c>
      <c r="Q6" s="51" t="s">
        <v>235</v>
      </c>
      <c r="R6" s="51" t="s">
        <v>236</v>
      </c>
      <c r="S6" s="51" t="s">
        <v>237</v>
      </c>
      <c r="T6" s="15" t="s">
        <v>238</v>
      </c>
      <c r="U6" s="14" t="s">
        <v>239</v>
      </c>
      <c r="V6" s="15" t="s">
        <v>24</v>
      </c>
    </row>
    <row r="7" customFormat="false" ht="15" hidden="false" customHeight="false" outlineLevel="0" collapsed="false">
      <c r="A7" s="11" t="s">
        <v>30</v>
      </c>
      <c r="B7" s="11" t="n">
        <v>1</v>
      </c>
      <c r="C7" s="52"/>
      <c r="D7" s="53" t="n">
        <v>0.583333333333333</v>
      </c>
      <c r="E7" s="53" t="n">
        <v>0.583391203703704</v>
      </c>
      <c r="F7" s="53" t="n">
        <v>0.583391203703704</v>
      </c>
      <c r="G7" s="53" t="n">
        <v>0.583425925925926</v>
      </c>
      <c r="H7" s="53" t="n">
        <v>0.584490740740741</v>
      </c>
      <c r="I7" s="53" t="n">
        <v>0.583449074074074</v>
      </c>
      <c r="J7" s="53" t="n">
        <v>0.583460648148148</v>
      </c>
      <c r="K7" s="53" t="n">
        <v>0.587847222222222</v>
      </c>
      <c r="L7" s="54" t="n">
        <f aca="false">IF(OR(E7="",D7=""),"",ROUND((E7-D7)*86400,0))</f>
        <v>5</v>
      </c>
      <c r="M7" s="54" t="n">
        <f aca="false">IF(OR(G7="",F7=""),"",ROUND((G7-F7)*86400,0))</f>
        <v>3</v>
      </c>
      <c r="N7" s="54" t="n">
        <f aca="false">IF(OR(H7="",G7=""),"",ROUND((H7-G7)*86400,0))</f>
        <v>92</v>
      </c>
      <c r="O7" s="54" t="n">
        <f aca="false">IF(OR(H7="",E7=""),"",ROUND((H7-E7)*86400,0))</f>
        <v>95</v>
      </c>
      <c r="P7" s="54" t="n">
        <f aca="false">IF(OR(J7="",I7=""),"",ROUND((J7-I7)*86400,0))</f>
        <v>1</v>
      </c>
      <c r="Q7" s="54" t="n">
        <f aca="false">IF(OR(H7="",J7=""),"",ROUND((H7-J7)*86400,0))</f>
        <v>89</v>
      </c>
      <c r="R7" s="54" t="n">
        <f aca="false">IF(OR(K7="",E7=""),"",ROUND((K7-E7)*86400,0))</f>
        <v>385</v>
      </c>
      <c r="S7" s="54" t="n">
        <f aca="false">IF(OR(H7="",E7=""),"",ROUND((H7-E7)*86400,0)+$C$3)</f>
        <v>125</v>
      </c>
      <c r="T7" s="44" t="n">
        <v>16.2</v>
      </c>
      <c r="U7" s="44" t="n">
        <v>25</v>
      </c>
      <c r="V7" s="47" t="s">
        <v>240</v>
      </c>
    </row>
    <row r="8" customFormat="false" ht="15" hidden="false" customHeight="false" outlineLevel="0" collapsed="false">
      <c r="A8" s="5"/>
      <c r="B8" s="5"/>
      <c r="C8" s="55"/>
      <c r="D8" s="56"/>
      <c r="E8" s="56"/>
      <c r="F8" s="56"/>
      <c r="G8" s="56"/>
      <c r="H8" s="56"/>
      <c r="I8" s="56"/>
      <c r="J8" s="56"/>
      <c r="K8" s="56"/>
      <c r="L8" s="54" t="str">
        <f aca="false">IF(OR(E8="",D8=""),"",ROUND((E8-D8)*86400,0))</f>
        <v/>
      </c>
      <c r="M8" s="54" t="str">
        <f aca="false">IF(OR(G8="",F8=""),"",ROUND((G8-F8)*86400,0))</f>
        <v/>
      </c>
      <c r="N8" s="54" t="str">
        <f aca="false">IF(OR(H8="",G8=""),"",ROUND((H8-G8)*86400,0))</f>
        <v/>
      </c>
      <c r="O8" s="54" t="str">
        <f aca="false">IF(OR(H8="",E8=""),"",ROUND((H8-E8)*86400,0))</f>
        <v/>
      </c>
      <c r="P8" s="54" t="str">
        <f aca="false">IF(OR(J8="",I8=""),"",ROUND((J8-I8)*86400,0))</f>
        <v/>
      </c>
      <c r="Q8" s="54" t="str">
        <f aca="false">IF(OR(H8="",J8=""),"",ROUND((H8-J8)*86400,0))</f>
        <v/>
      </c>
      <c r="R8" s="54" t="str">
        <f aca="false">IF(OR(K8="",E8=""),"",ROUND((K8-E8)*86400,0))</f>
        <v/>
      </c>
      <c r="S8" s="54" t="str">
        <f aca="false">IF(OR(H8="",E8=""),"",ROUND((H8-E8)*86400,0)+$C$3)</f>
        <v/>
      </c>
      <c r="T8" s="5"/>
      <c r="U8" s="5"/>
      <c r="V8" s="39"/>
    </row>
    <row r="9" customFormat="false" ht="15" hidden="false" customHeight="false" outlineLevel="0" collapsed="false">
      <c r="A9" s="5"/>
      <c r="B9" s="5"/>
      <c r="C9" s="55"/>
      <c r="D9" s="56"/>
      <c r="E9" s="56"/>
      <c r="F9" s="56"/>
      <c r="G9" s="56"/>
      <c r="H9" s="56"/>
      <c r="I9" s="56"/>
      <c r="J9" s="56"/>
      <c r="K9" s="56"/>
      <c r="L9" s="54" t="str">
        <f aca="false">IF(OR(E9="",D9=""),"",ROUND((E9-D9)*86400,0))</f>
        <v/>
      </c>
      <c r="M9" s="54" t="str">
        <f aca="false">IF(OR(G9="",F9=""),"",ROUND((G9-F9)*86400,0))</f>
        <v/>
      </c>
      <c r="N9" s="54" t="str">
        <f aca="false">IF(OR(H9="",G9=""),"",ROUND((H9-G9)*86400,0))</f>
        <v/>
      </c>
      <c r="O9" s="54" t="str">
        <f aca="false">IF(OR(H9="",E9=""),"",ROUND((H9-E9)*86400,0))</f>
        <v/>
      </c>
      <c r="P9" s="54" t="str">
        <f aca="false">IF(OR(J9="",I9=""),"",ROUND((J9-I9)*86400,0))</f>
        <v/>
      </c>
      <c r="Q9" s="54" t="str">
        <f aca="false">IF(OR(H9="",J9=""),"",ROUND((H9-J9)*86400,0))</f>
        <v/>
      </c>
      <c r="R9" s="54" t="str">
        <f aca="false">IF(OR(K9="",E9=""),"",ROUND((K9-E9)*86400,0))</f>
        <v/>
      </c>
      <c r="S9" s="54" t="str">
        <f aca="false">IF(OR(H9="",E9=""),"",ROUND((H9-E9)*86400,0)+$C$3)</f>
        <v/>
      </c>
      <c r="T9" s="5"/>
      <c r="U9" s="5"/>
      <c r="V9" s="39"/>
    </row>
    <row r="10" customFormat="false" ht="15" hidden="false" customHeight="false" outlineLevel="0" collapsed="false">
      <c r="A10" s="5"/>
      <c r="B10" s="5"/>
      <c r="C10" s="55"/>
      <c r="D10" s="56"/>
      <c r="E10" s="56"/>
      <c r="F10" s="56"/>
      <c r="G10" s="56"/>
      <c r="H10" s="56"/>
      <c r="I10" s="56"/>
      <c r="J10" s="56"/>
      <c r="K10" s="56"/>
      <c r="L10" s="54" t="str">
        <f aca="false">IF(OR(E10="",D10=""),"",ROUND((E10-D10)*86400,0))</f>
        <v/>
      </c>
      <c r="M10" s="54" t="str">
        <f aca="false">IF(OR(G10="",F10=""),"",ROUND((G10-F10)*86400,0))</f>
        <v/>
      </c>
      <c r="N10" s="54" t="str">
        <f aca="false">IF(OR(H10="",G10=""),"",ROUND((H10-G10)*86400,0))</f>
        <v/>
      </c>
      <c r="O10" s="54" t="str">
        <f aca="false">IF(OR(H10="",E10=""),"",ROUND((H10-E10)*86400,0))</f>
        <v/>
      </c>
      <c r="P10" s="54" t="str">
        <f aca="false">IF(OR(J10="",I10=""),"",ROUND((J10-I10)*86400,0))</f>
        <v/>
      </c>
      <c r="Q10" s="54" t="str">
        <f aca="false">IF(OR(H10="",J10=""),"",ROUND((H10-J10)*86400,0))</f>
        <v/>
      </c>
      <c r="R10" s="54" t="str">
        <f aca="false">IF(OR(K10="",E10=""),"",ROUND((K10-E10)*86400,0))</f>
        <v/>
      </c>
      <c r="S10" s="54" t="str">
        <f aca="false">IF(OR(H10="",E10=""),"",ROUND((H10-E10)*86400,0)+$C$3)</f>
        <v/>
      </c>
      <c r="T10" s="5"/>
      <c r="U10" s="5"/>
      <c r="V10" s="39"/>
    </row>
    <row r="11" customFormat="false" ht="15" hidden="false" customHeight="false" outlineLevel="0" collapsed="false">
      <c r="A11" s="5"/>
      <c r="B11" s="5"/>
      <c r="C11" s="55"/>
      <c r="D11" s="56"/>
      <c r="E11" s="56"/>
      <c r="F11" s="56"/>
      <c r="G11" s="56"/>
      <c r="H11" s="56"/>
      <c r="I11" s="56"/>
      <c r="J11" s="56"/>
      <c r="K11" s="56"/>
      <c r="L11" s="54" t="str">
        <f aca="false">IF(OR(E11="",D11=""),"",ROUND((E11-D11)*86400,0))</f>
        <v/>
      </c>
      <c r="M11" s="54" t="str">
        <f aca="false">IF(OR(G11="",F11=""),"",ROUND((G11-F11)*86400,0))</f>
        <v/>
      </c>
      <c r="N11" s="54" t="str">
        <f aca="false">IF(OR(H11="",G11=""),"",ROUND((H11-G11)*86400,0))</f>
        <v/>
      </c>
      <c r="O11" s="54" t="str">
        <f aca="false">IF(OR(H11="",E11=""),"",ROUND((H11-E11)*86400,0))</f>
        <v/>
      </c>
      <c r="P11" s="54" t="str">
        <f aca="false">IF(OR(J11="",I11=""),"",ROUND((J11-I11)*86400,0))</f>
        <v/>
      </c>
      <c r="Q11" s="54" t="str">
        <f aca="false">IF(OR(H11="",J11=""),"",ROUND((H11-J11)*86400,0))</f>
        <v/>
      </c>
      <c r="R11" s="54" t="str">
        <f aca="false">IF(OR(K11="",E11=""),"",ROUND((K11-E11)*86400,0))</f>
        <v/>
      </c>
      <c r="S11" s="54" t="str">
        <f aca="false">IF(OR(H11="",E11=""),"",ROUND((H11-E11)*86400,0)+$C$3)</f>
        <v/>
      </c>
      <c r="T11" s="5"/>
      <c r="U11" s="5"/>
      <c r="V11" s="39"/>
    </row>
    <row r="12" customFormat="false" ht="15" hidden="false" customHeight="false" outlineLevel="0" collapsed="false">
      <c r="A12" s="5"/>
      <c r="B12" s="5"/>
      <c r="C12" s="55"/>
      <c r="D12" s="56"/>
      <c r="E12" s="56"/>
      <c r="F12" s="56"/>
      <c r="G12" s="56"/>
      <c r="H12" s="56"/>
      <c r="I12" s="56"/>
      <c r="J12" s="56"/>
      <c r="K12" s="56"/>
      <c r="L12" s="54" t="str">
        <f aca="false">IF(OR(E12="",D12=""),"",ROUND((E12-D12)*86400,0))</f>
        <v/>
      </c>
      <c r="M12" s="54" t="str">
        <f aca="false">IF(OR(G12="",F12=""),"",ROUND((G12-F12)*86400,0))</f>
        <v/>
      </c>
      <c r="N12" s="54" t="str">
        <f aca="false">IF(OR(H12="",G12=""),"",ROUND((H12-G12)*86400,0))</f>
        <v/>
      </c>
      <c r="O12" s="54" t="str">
        <f aca="false">IF(OR(H12="",E12=""),"",ROUND((H12-E12)*86400,0))</f>
        <v/>
      </c>
      <c r="P12" s="54" t="str">
        <f aca="false">IF(OR(J12="",I12=""),"",ROUND((J12-I12)*86400,0))</f>
        <v/>
      </c>
      <c r="Q12" s="54" t="str">
        <f aca="false">IF(OR(H12="",J12=""),"",ROUND((H12-J12)*86400,0))</f>
        <v/>
      </c>
      <c r="R12" s="54" t="str">
        <f aca="false">IF(OR(K12="",E12=""),"",ROUND((K12-E12)*86400,0))</f>
        <v/>
      </c>
      <c r="S12" s="54" t="str">
        <f aca="false">IF(OR(H12="",E12=""),"",ROUND((H12-E12)*86400,0)+$C$3)</f>
        <v/>
      </c>
      <c r="T12" s="5"/>
      <c r="U12" s="5"/>
      <c r="V12" s="39"/>
    </row>
    <row r="13" customFormat="false" ht="15" hidden="false" customHeight="false" outlineLevel="0" collapsed="false">
      <c r="A13" s="5"/>
      <c r="B13" s="5"/>
      <c r="C13" s="55"/>
      <c r="D13" s="56"/>
      <c r="E13" s="56"/>
      <c r="F13" s="56"/>
      <c r="G13" s="56"/>
      <c r="H13" s="56"/>
      <c r="I13" s="56"/>
      <c r="J13" s="56"/>
      <c r="K13" s="56"/>
      <c r="L13" s="54" t="str">
        <f aca="false">IF(OR(E13="",D13=""),"",ROUND((E13-D13)*86400,0))</f>
        <v/>
      </c>
      <c r="M13" s="54" t="str">
        <f aca="false">IF(OR(G13="",F13=""),"",ROUND((G13-F13)*86400,0))</f>
        <v/>
      </c>
      <c r="N13" s="54" t="str">
        <f aca="false">IF(OR(H13="",G13=""),"",ROUND((H13-G13)*86400,0))</f>
        <v/>
      </c>
      <c r="O13" s="54" t="str">
        <f aca="false">IF(OR(H13="",E13=""),"",ROUND((H13-E13)*86400,0))</f>
        <v/>
      </c>
      <c r="P13" s="54" t="str">
        <f aca="false">IF(OR(J13="",I13=""),"",ROUND((J13-I13)*86400,0))</f>
        <v/>
      </c>
      <c r="Q13" s="54" t="str">
        <f aca="false">IF(OR(H13="",J13=""),"",ROUND((H13-J13)*86400,0))</f>
        <v/>
      </c>
      <c r="R13" s="54" t="str">
        <f aca="false">IF(OR(K13="",E13=""),"",ROUND((K13-E13)*86400,0))</f>
        <v/>
      </c>
      <c r="S13" s="54" t="str">
        <f aca="false">IF(OR(H13="",E13=""),"",ROUND((H13-E13)*86400,0)+$C$3)</f>
        <v/>
      </c>
      <c r="T13" s="5"/>
      <c r="U13" s="5"/>
      <c r="V13" s="39"/>
    </row>
    <row r="14" customFormat="false" ht="15" hidden="false" customHeight="false" outlineLevel="0" collapsed="false">
      <c r="A14" s="5"/>
      <c r="B14" s="5"/>
      <c r="C14" s="55"/>
      <c r="D14" s="56"/>
      <c r="E14" s="56"/>
      <c r="F14" s="56"/>
      <c r="G14" s="56"/>
      <c r="H14" s="56"/>
      <c r="I14" s="56"/>
      <c r="J14" s="56"/>
      <c r="K14" s="56"/>
      <c r="L14" s="54" t="str">
        <f aca="false">IF(OR(E14="",D14=""),"",ROUND((E14-D14)*86400,0))</f>
        <v/>
      </c>
      <c r="M14" s="54" t="str">
        <f aca="false">IF(OR(G14="",F14=""),"",ROUND((G14-F14)*86400,0))</f>
        <v/>
      </c>
      <c r="N14" s="54" t="str">
        <f aca="false">IF(OR(H14="",G14=""),"",ROUND((H14-G14)*86400,0))</f>
        <v/>
      </c>
      <c r="O14" s="54" t="str">
        <f aca="false">IF(OR(H14="",E14=""),"",ROUND((H14-E14)*86400,0))</f>
        <v/>
      </c>
      <c r="P14" s="54" t="str">
        <f aca="false">IF(OR(J14="",I14=""),"",ROUND((J14-I14)*86400,0))</f>
        <v/>
      </c>
      <c r="Q14" s="54" t="str">
        <f aca="false">IF(OR(H14="",J14=""),"",ROUND((H14-J14)*86400,0))</f>
        <v/>
      </c>
      <c r="R14" s="54" t="str">
        <f aca="false">IF(OR(K14="",E14=""),"",ROUND((K14-E14)*86400,0))</f>
        <v/>
      </c>
      <c r="S14" s="54" t="str">
        <f aca="false">IF(OR(H14="",E14=""),"",ROUND((H14-E14)*86400,0)+$C$3)</f>
        <v/>
      </c>
      <c r="T14" s="5"/>
      <c r="U14" s="5"/>
      <c r="V14" s="39"/>
    </row>
    <row r="15" customFormat="false" ht="15" hidden="false" customHeight="false" outlineLevel="0" collapsed="false">
      <c r="A15" s="5"/>
      <c r="B15" s="5"/>
      <c r="C15" s="55"/>
      <c r="D15" s="56"/>
      <c r="E15" s="56"/>
      <c r="F15" s="56"/>
      <c r="G15" s="56"/>
      <c r="H15" s="56"/>
      <c r="I15" s="56"/>
      <c r="J15" s="56"/>
      <c r="K15" s="56"/>
      <c r="L15" s="54" t="str">
        <f aca="false">IF(OR(E15="",D15=""),"",ROUND((E15-D15)*86400,0))</f>
        <v/>
      </c>
      <c r="M15" s="54" t="str">
        <f aca="false">IF(OR(G15="",F15=""),"",ROUND((G15-F15)*86400,0))</f>
        <v/>
      </c>
      <c r="N15" s="54" t="str">
        <f aca="false">IF(OR(H15="",G15=""),"",ROUND((H15-G15)*86400,0))</f>
        <v/>
      </c>
      <c r="O15" s="54" t="str">
        <f aca="false">IF(OR(H15="",E15=""),"",ROUND((H15-E15)*86400,0))</f>
        <v/>
      </c>
      <c r="P15" s="54" t="str">
        <f aca="false">IF(OR(J15="",I15=""),"",ROUND((J15-I15)*86400,0))</f>
        <v/>
      </c>
      <c r="Q15" s="54" t="str">
        <f aca="false">IF(OR(H15="",J15=""),"",ROUND((H15-J15)*86400,0))</f>
        <v/>
      </c>
      <c r="R15" s="54" t="str">
        <f aca="false">IF(OR(K15="",E15=""),"",ROUND((K15-E15)*86400,0))</f>
        <v/>
      </c>
      <c r="S15" s="54" t="str">
        <f aca="false">IF(OR(H15="",E15=""),"",ROUND((H15-E15)*86400,0)+$C$3)</f>
        <v/>
      </c>
      <c r="T15" s="5"/>
      <c r="U15" s="5"/>
      <c r="V15" s="39"/>
    </row>
    <row r="16" customFormat="false" ht="15" hidden="false" customHeight="false" outlineLevel="0" collapsed="false">
      <c r="A16" s="5"/>
      <c r="B16" s="5"/>
      <c r="C16" s="55"/>
      <c r="D16" s="56"/>
      <c r="E16" s="56"/>
      <c r="F16" s="56"/>
      <c r="G16" s="56"/>
      <c r="H16" s="56"/>
      <c r="I16" s="56"/>
      <c r="J16" s="56"/>
      <c r="K16" s="56"/>
      <c r="L16" s="54" t="str">
        <f aca="false">IF(OR(E16="",D16=""),"",ROUND((E16-D16)*86400,0))</f>
        <v/>
      </c>
      <c r="M16" s="54" t="str">
        <f aca="false">IF(OR(G16="",F16=""),"",ROUND((G16-F16)*86400,0))</f>
        <v/>
      </c>
      <c r="N16" s="54" t="str">
        <f aca="false">IF(OR(H16="",G16=""),"",ROUND((H16-G16)*86400,0))</f>
        <v/>
      </c>
      <c r="O16" s="54" t="str">
        <f aca="false">IF(OR(H16="",E16=""),"",ROUND((H16-E16)*86400,0))</f>
        <v/>
      </c>
      <c r="P16" s="54" t="str">
        <f aca="false">IF(OR(J16="",I16=""),"",ROUND((J16-I16)*86400,0))</f>
        <v/>
      </c>
      <c r="Q16" s="54" t="str">
        <f aca="false">IF(OR(H16="",J16=""),"",ROUND((H16-J16)*86400,0))</f>
        <v/>
      </c>
      <c r="R16" s="54" t="str">
        <f aca="false">IF(OR(K16="",E16=""),"",ROUND((K16-E16)*86400,0))</f>
        <v/>
      </c>
      <c r="S16" s="54" t="str">
        <f aca="false">IF(OR(H16="",E16=""),"",ROUND((H16-E16)*86400,0)+$C$3)</f>
        <v/>
      </c>
      <c r="T16" s="5"/>
      <c r="U16" s="5"/>
      <c r="V16" s="39"/>
    </row>
    <row r="17" customFormat="false" ht="15" hidden="false" customHeight="false" outlineLevel="0" collapsed="false">
      <c r="A17" s="5"/>
      <c r="B17" s="5"/>
      <c r="C17" s="55"/>
      <c r="D17" s="56"/>
      <c r="E17" s="56"/>
      <c r="F17" s="56"/>
      <c r="G17" s="56"/>
      <c r="H17" s="56"/>
      <c r="I17" s="56"/>
      <c r="J17" s="56"/>
      <c r="K17" s="56"/>
      <c r="L17" s="54" t="str">
        <f aca="false">IF(OR(E17="",D17=""),"",ROUND((E17-D17)*86400,0))</f>
        <v/>
      </c>
      <c r="M17" s="54" t="str">
        <f aca="false">IF(OR(G17="",F17=""),"",ROUND((G17-F17)*86400,0))</f>
        <v/>
      </c>
      <c r="N17" s="54" t="str">
        <f aca="false">IF(OR(H17="",G17=""),"",ROUND((H17-G17)*86400,0))</f>
        <v/>
      </c>
      <c r="O17" s="54" t="str">
        <f aca="false">IF(OR(H17="",E17=""),"",ROUND((H17-E17)*86400,0))</f>
        <v/>
      </c>
      <c r="P17" s="54" t="str">
        <f aca="false">IF(OR(J17="",I17=""),"",ROUND((J17-I17)*86400,0))</f>
        <v/>
      </c>
      <c r="Q17" s="54" t="str">
        <f aca="false">IF(OR(H17="",J17=""),"",ROUND((H17-J17)*86400,0))</f>
        <v/>
      </c>
      <c r="R17" s="54" t="str">
        <f aca="false">IF(OR(K17="",E17=""),"",ROUND((K17-E17)*86400,0))</f>
        <v/>
      </c>
      <c r="S17" s="54" t="str">
        <f aca="false">IF(OR(H17="",E17=""),"",ROUND((H17-E17)*86400,0)+$C$3)</f>
        <v/>
      </c>
      <c r="T17" s="5"/>
      <c r="U17" s="5"/>
      <c r="V17" s="39"/>
    </row>
    <row r="18" customFormat="false" ht="15" hidden="false" customHeight="false" outlineLevel="0" collapsed="false">
      <c r="A18" s="5"/>
      <c r="B18" s="5"/>
      <c r="C18" s="55"/>
      <c r="D18" s="56"/>
      <c r="E18" s="56"/>
      <c r="F18" s="56"/>
      <c r="G18" s="56"/>
      <c r="H18" s="56"/>
      <c r="I18" s="56"/>
      <c r="J18" s="56"/>
      <c r="K18" s="56"/>
      <c r="L18" s="54" t="str">
        <f aca="false">IF(OR(E18="",D18=""),"",ROUND((E18-D18)*86400,0))</f>
        <v/>
      </c>
      <c r="M18" s="54" t="str">
        <f aca="false">IF(OR(G18="",F18=""),"",ROUND((G18-F18)*86400,0))</f>
        <v/>
      </c>
      <c r="N18" s="54" t="str">
        <f aca="false">IF(OR(H18="",G18=""),"",ROUND((H18-G18)*86400,0))</f>
        <v/>
      </c>
      <c r="O18" s="54" t="str">
        <f aca="false">IF(OR(H18="",E18=""),"",ROUND((H18-E18)*86400,0))</f>
        <v/>
      </c>
      <c r="P18" s="54" t="str">
        <f aca="false">IF(OR(J18="",I18=""),"",ROUND((J18-I18)*86400,0))</f>
        <v/>
      </c>
      <c r="Q18" s="54" t="str">
        <f aca="false">IF(OR(H18="",J18=""),"",ROUND((H18-J18)*86400,0))</f>
        <v/>
      </c>
      <c r="R18" s="54" t="str">
        <f aca="false">IF(OR(K18="",E18=""),"",ROUND((K18-E18)*86400,0))</f>
        <v/>
      </c>
      <c r="S18" s="54" t="str">
        <f aca="false">IF(OR(H18="",E18=""),"",ROUND((H18-E18)*86400,0)+$C$3)</f>
        <v/>
      </c>
      <c r="T18" s="5"/>
      <c r="U18" s="5"/>
      <c r="V18" s="39"/>
    </row>
    <row r="19" customFormat="false" ht="15" hidden="false" customHeight="false" outlineLevel="0" collapsed="false">
      <c r="A19" s="5"/>
      <c r="B19" s="5"/>
      <c r="C19" s="55"/>
      <c r="D19" s="56"/>
      <c r="E19" s="56"/>
      <c r="F19" s="56"/>
      <c r="G19" s="56"/>
      <c r="H19" s="56"/>
      <c r="I19" s="56"/>
      <c r="J19" s="56"/>
      <c r="K19" s="56"/>
      <c r="L19" s="54" t="str">
        <f aca="false">IF(OR(E19="",D19=""),"",ROUND((E19-D19)*86400,0))</f>
        <v/>
      </c>
      <c r="M19" s="54" t="str">
        <f aca="false">IF(OR(G19="",F19=""),"",ROUND((G19-F19)*86400,0))</f>
        <v/>
      </c>
      <c r="N19" s="54" t="str">
        <f aca="false">IF(OR(H19="",G19=""),"",ROUND((H19-G19)*86400,0))</f>
        <v/>
      </c>
      <c r="O19" s="54" t="str">
        <f aca="false">IF(OR(H19="",E19=""),"",ROUND((H19-E19)*86400,0))</f>
        <v/>
      </c>
      <c r="P19" s="54" t="str">
        <f aca="false">IF(OR(J19="",I19=""),"",ROUND((J19-I19)*86400,0))</f>
        <v/>
      </c>
      <c r="Q19" s="54" t="str">
        <f aca="false">IF(OR(H19="",J19=""),"",ROUND((H19-J19)*86400,0))</f>
        <v/>
      </c>
      <c r="R19" s="54" t="str">
        <f aca="false">IF(OR(K19="",E19=""),"",ROUND((K19-E19)*86400,0))</f>
        <v/>
      </c>
      <c r="S19" s="54" t="str">
        <f aca="false">IF(OR(H19="",E19=""),"",ROUND((H19-E19)*86400,0)+$C$3)</f>
        <v/>
      </c>
      <c r="T19" s="5"/>
      <c r="U19" s="5"/>
      <c r="V19" s="39"/>
    </row>
    <row r="20" customFormat="false" ht="15" hidden="false" customHeight="false" outlineLevel="0" collapsed="false">
      <c r="A20" s="5"/>
      <c r="B20" s="5"/>
      <c r="C20" s="55"/>
      <c r="D20" s="56"/>
      <c r="E20" s="56"/>
      <c r="F20" s="56"/>
      <c r="G20" s="56"/>
      <c r="H20" s="56"/>
      <c r="I20" s="56"/>
      <c r="J20" s="56"/>
      <c r="K20" s="56"/>
      <c r="L20" s="54" t="str">
        <f aca="false">IF(OR(E20="",D20=""),"",ROUND((E20-D20)*86400,0))</f>
        <v/>
      </c>
      <c r="M20" s="54" t="str">
        <f aca="false">IF(OR(G20="",F20=""),"",ROUND((G20-F20)*86400,0))</f>
        <v/>
      </c>
      <c r="N20" s="54" t="str">
        <f aca="false">IF(OR(H20="",G20=""),"",ROUND((H20-G20)*86400,0))</f>
        <v/>
      </c>
      <c r="O20" s="54" t="str">
        <f aca="false">IF(OR(H20="",E20=""),"",ROUND((H20-E20)*86400,0))</f>
        <v/>
      </c>
      <c r="P20" s="54" t="str">
        <f aca="false">IF(OR(J20="",I20=""),"",ROUND((J20-I20)*86400,0))</f>
        <v/>
      </c>
      <c r="Q20" s="54" t="str">
        <f aca="false">IF(OR(H20="",J20=""),"",ROUND((H20-J20)*86400,0))</f>
        <v/>
      </c>
      <c r="R20" s="54" t="str">
        <f aca="false">IF(OR(K20="",E20=""),"",ROUND((K20-E20)*86400,0))</f>
        <v/>
      </c>
      <c r="S20" s="54" t="str">
        <f aca="false">IF(OR(H20="",E20=""),"",ROUND((H20-E20)*86400,0)+$C$3)</f>
        <v/>
      </c>
      <c r="T20" s="5"/>
      <c r="U20" s="5"/>
      <c r="V20" s="39"/>
    </row>
    <row r="21" customFormat="false" ht="15" hidden="false" customHeight="false" outlineLevel="0" collapsed="false">
      <c r="A21" s="5"/>
      <c r="B21" s="5"/>
      <c r="C21" s="55"/>
      <c r="D21" s="56"/>
      <c r="E21" s="56"/>
      <c r="F21" s="56"/>
      <c r="G21" s="56"/>
      <c r="H21" s="56"/>
      <c r="I21" s="56"/>
      <c r="J21" s="56"/>
      <c r="K21" s="56"/>
      <c r="L21" s="54" t="str">
        <f aca="false">IF(OR(E21="",D21=""),"",ROUND((E21-D21)*86400,0))</f>
        <v/>
      </c>
      <c r="M21" s="54" t="str">
        <f aca="false">IF(OR(G21="",F21=""),"",ROUND((G21-F21)*86400,0))</f>
        <v/>
      </c>
      <c r="N21" s="54" t="str">
        <f aca="false">IF(OR(H21="",G21=""),"",ROUND((H21-G21)*86400,0))</f>
        <v/>
      </c>
      <c r="O21" s="54" t="str">
        <f aca="false">IF(OR(H21="",E21=""),"",ROUND((H21-E21)*86400,0))</f>
        <v/>
      </c>
      <c r="P21" s="54" t="str">
        <f aca="false">IF(OR(J21="",I21=""),"",ROUND((J21-I21)*86400,0))</f>
        <v/>
      </c>
      <c r="Q21" s="54" t="str">
        <f aca="false">IF(OR(H21="",J21=""),"",ROUND((H21-J21)*86400,0))</f>
        <v/>
      </c>
      <c r="R21" s="54" t="str">
        <f aca="false">IF(OR(K21="",E21=""),"",ROUND((K21-E21)*86400,0))</f>
        <v/>
      </c>
      <c r="S21" s="54" t="str">
        <f aca="false">IF(OR(H21="",E21=""),"",ROUND((H21-E21)*86400,0)+$C$3)</f>
        <v/>
      </c>
      <c r="T21" s="5"/>
      <c r="U21" s="5"/>
      <c r="V21" s="39"/>
    </row>
    <row r="24" customFormat="false" ht="15" hidden="false" customHeight="false" outlineLevel="0" collapsed="false">
      <c r="A24" s="36" t="s">
        <v>241</v>
      </c>
    </row>
    <row r="25" customFormat="false" ht="54" hidden="false" customHeight="true" outlineLevel="0" collapsed="false">
      <c r="A25" s="14" t="s">
        <v>17</v>
      </c>
      <c r="B25" s="15" t="s">
        <v>220</v>
      </c>
      <c r="C25" s="15" t="s">
        <v>221</v>
      </c>
      <c r="D25" s="14" t="s">
        <v>242</v>
      </c>
      <c r="E25" s="14" t="s">
        <v>223</v>
      </c>
      <c r="F25" s="14" t="s">
        <v>243</v>
      </c>
      <c r="G25" s="14" t="s">
        <v>244</v>
      </c>
      <c r="H25" s="14" t="s">
        <v>245</v>
      </c>
      <c r="I25" s="14" t="s">
        <v>246</v>
      </c>
      <c r="J25" s="14" t="s">
        <v>247</v>
      </c>
      <c r="K25" s="14" t="s">
        <v>229</v>
      </c>
      <c r="L25" s="51" t="s">
        <v>230</v>
      </c>
      <c r="M25" s="51" t="s">
        <v>248</v>
      </c>
      <c r="N25" s="51" t="s">
        <v>249</v>
      </c>
      <c r="O25" s="51" t="s">
        <v>250</v>
      </c>
      <c r="P25" s="51" t="s">
        <v>251</v>
      </c>
      <c r="Q25" s="51" t="s">
        <v>252</v>
      </c>
      <c r="R25" s="51" t="s">
        <v>236</v>
      </c>
      <c r="S25" s="51" t="s">
        <v>253</v>
      </c>
      <c r="T25" s="15" t="s">
        <v>254</v>
      </c>
      <c r="U25" s="15" t="s">
        <v>255</v>
      </c>
      <c r="V25" s="15" t="s">
        <v>24</v>
      </c>
    </row>
    <row r="26" customFormat="false" ht="15" hidden="false" customHeight="false" outlineLevel="0" collapsed="false">
      <c r="A26" s="11" t="s">
        <v>30</v>
      </c>
      <c r="B26" s="11" t="n">
        <v>1</v>
      </c>
      <c r="C26" s="52"/>
      <c r="D26" s="53" t="n">
        <v>0.75</v>
      </c>
      <c r="E26" s="53" t="n">
        <v>0.75005787037037</v>
      </c>
      <c r="F26" s="53" t="n">
        <v>0.75005787037037</v>
      </c>
      <c r="G26" s="53" t="n">
        <v>0.750081018518519</v>
      </c>
      <c r="H26" s="53" t="n">
        <v>0.750405092592593</v>
      </c>
      <c r="I26" s="53" t="n">
        <v>0.750810185185185</v>
      </c>
      <c r="J26" s="53" t="n">
        <v>0.751157407407407</v>
      </c>
      <c r="K26" s="53" t="n">
        <v>0.753472222222222</v>
      </c>
      <c r="L26" s="54" t="n">
        <f aca="false">IF(OR(E26="",D26=""),"",ROUND((E26-D26)*86400,0))</f>
        <v>5</v>
      </c>
      <c r="M26" s="54" t="n">
        <f aca="false">IF(OR(G26="",F26=""),"",ROUND((G26-F26)*86400,0))</f>
        <v>2</v>
      </c>
      <c r="N26" s="54" t="n">
        <f aca="false">IF(OR(I26="",H26=""),"",ROUND((I26-H26)*86400,0))</f>
        <v>35</v>
      </c>
      <c r="O26" s="54" t="n">
        <f aca="false">IF(OR(I26="",G26=""),"",ROUND((I26-G26)*86400,0))</f>
        <v>63</v>
      </c>
      <c r="P26" s="54" t="n">
        <f aca="false">IF(OR(H26="",G26=""),"",ROUND((H26-G26)*86400,0))</f>
        <v>28</v>
      </c>
      <c r="Q26" s="54" t="n">
        <f aca="false">IF(OR(J26="",I26=""),"",ROUND((J26-I26)*86400,0))</f>
        <v>30</v>
      </c>
      <c r="R26" s="54" t="n">
        <f aca="false">IF(OR(K26="",E26=""),"",ROUND((K26-E26)*86400,0))</f>
        <v>295</v>
      </c>
      <c r="S26" s="40" t="n">
        <f aca="false">IF(OR(T26="",U26=""),"",T26-U26)</f>
        <v>2.1</v>
      </c>
      <c r="T26" s="44" t="n">
        <v>24.1</v>
      </c>
      <c r="U26" s="44" t="n">
        <v>22</v>
      </c>
      <c r="V26" s="47" t="s">
        <v>256</v>
      </c>
    </row>
    <row r="27" customFormat="false" ht="15" hidden="false" customHeight="false" outlineLevel="0" collapsed="false">
      <c r="A27" s="5"/>
      <c r="B27" s="5"/>
      <c r="C27" s="55"/>
      <c r="D27" s="56"/>
      <c r="E27" s="56"/>
      <c r="F27" s="56"/>
      <c r="G27" s="56"/>
      <c r="H27" s="56"/>
      <c r="I27" s="56"/>
      <c r="J27" s="56"/>
      <c r="K27" s="56"/>
      <c r="L27" s="54" t="str">
        <f aca="false">IF(OR(E27="",D27=""),"",ROUND((E27-D27)*86400,0))</f>
        <v/>
      </c>
      <c r="M27" s="54" t="str">
        <f aca="false">IF(OR(G27="",F27=""),"",ROUND((G27-F27)*86400,0))</f>
        <v/>
      </c>
      <c r="N27" s="54" t="str">
        <f aca="false">IF(OR(I27="",H27=""),"",ROUND((I27-H27)*86400,0))</f>
        <v/>
      </c>
      <c r="O27" s="54" t="str">
        <f aca="false">IF(OR(I27="",G27=""),"",ROUND((I27-G27)*86400,0))</f>
        <v/>
      </c>
      <c r="P27" s="54" t="str">
        <f aca="false">IF(OR(H27="",G27=""),"",ROUND((H27-G27)*86400,0))</f>
        <v/>
      </c>
      <c r="Q27" s="54" t="str">
        <f aca="false">IF(OR(J27="",I27=""),"",ROUND((J27-I27)*86400,0))</f>
        <v/>
      </c>
      <c r="R27" s="54" t="str">
        <f aca="false">IF(OR(K27="",E27=""),"",ROUND((K27-E27)*86400,0))</f>
        <v/>
      </c>
      <c r="S27" s="40" t="str">
        <f aca="false">IF(OR(T27="",U27=""),"",T27-U27)</f>
        <v/>
      </c>
      <c r="T27" s="5"/>
      <c r="U27" s="5"/>
      <c r="V27" s="39"/>
    </row>
    <row r="28" customFormat="false" ht="15" hidden="false" customHeight="false" outlineLevel="0" collapsed="false">
      <c r="A28" s="5"/>
      <c r="B28" s="5"/>
      <c r="C28" s="55"/>
      <c r="D28" s="56"/>
      <c r="E28" s="56"/>
      <c r="F28" s="56"/>
      <c r="G28" s="56"/>
      <c r="H28" s="56"/>
      <c r="I28" s="56"/>
      <c r="J28" s="56"/>
      <c r="K28" s="56"/>
      <c r="L28" s="54" t="str">
        <f aca="false">IF(OR(E28="",D28=""),"",ROUND((E28-D28)*86400,0))</f>
        <v/>
      </c>
      <c r="M28" s="54" t="str">
        <f aca="false">IF(OR(G28="",F28=""),"",ROUND((G28-F28)*86400,0))</f>
        <v/>
      </c>
      <c r="N28" s="54" t="str">
        <f aca="false">IF(OR(I28="",H28=""),"",ROUND((I28-H28)*86400,0))</f>
        <v/>
      </c>
      <c r="O28" s="54" t="str">
        <f aca="false">IF(OR(I28="",G28=""),"",ROUND((I28-G28)*86400,0))</f>
        <v/>
      </c>
      <c r="P28" s="54" t="str">
        <f aca="false">IF(OR(H28="",G28=""),"",ROUND((H28-G28)*86400,0))</f>
        <v/>
      </c>
      <c r="Q28" s="54" t="str">
        <f aca="false">IF(OR(J28="",I28=""),"",ROUND((J28-I28)*86400,0))</f>
        <v/>
      </c>
      <c r="R28" s="54" t="str">
        <f aca="false">IF(OR(K28="",E28=""),"",ROUND((K28-E28)*86400,0))</f>
        <v/>
      </c>
      <c r="S28" s="40" t="str">
        <f aca="false">IF(OR(T28="",U28=""),"",T28-U28)</f>
        <v/>
      </c>
      <c r="T28" s="5"/>
      <c r="U28" s="5"/>
      <c r="V28" s="39"/>
    </row>
    <row r="29" customFormat="false" ht="15" hidden="false" customHeight="false" outlineLevel="0" collapsed="false">
      <c r="A29" s="5"/>
      <c r="B29" s="5"/>
      <c r="C29" s="55"/>
      <c r="D29" s="56"/>
      <c r="E29" s="56"/>
      <c r="F29" s="56"/>
      <c r="G29" s="56"/>
      <c r="H29" s="56"/>
      <c r="I29" s="56"/>
      <c r="J29" s="56"/>
      <c r="K29" s="56"/>
      <c r="L29" s="54" t="str">
        <f aca="false">IF(OR(E29="",D29=""),"",ROUND((E29-D29)*86400,0))</f>
        <v/>
      </c>
      <c r="M29" s="54" t="str">
        <f aca="false">IF(OR(G29="",F29=""),"",ROUND((G29-F29)*86400,0))</f>
        <v/>
      </c>
      <c r="N29" s="54" t="str">
        <f aca="false">IF(OR(I29="",H29=""),"",ROUND((I29-H29)*86400,0))</f>
        <v/>
      </c>
      <c r="O29" s="54" t="str">
        <f aca="false">IF(OR(I29="",G29=""),"",ROUND((I29-G29)*86400,0))</f>
        <v/>
      </c>
      <c r="P29" s="54" t="str">
        <f aca="false">IF(OR(H29="",G29=""),"",ROUND((H29-G29)*86400,0))</f>
        <v/>
      </c>
      <c r="Q29" s="54" t="str">
        <f aca="false">IF(OR(J29="",I29=""),"",ROUND((J29-I29)*86400,0))</f>
        <v/>
      </c>
      <c r="R29" s="54" t="str">
        <f aca="false">IF(OR(K29="",E29=""),"",ROUND((K29-E29)*86400,0))</f>
        <v/>
      </c>
      <c r="S29" s="40" t="str">
        <f aca="false">IF(OR(T29="",U29=""),"",T29-U29)</f>
        <v/>
      </c>
      <c r="T29" s="5"/>
      <c r="U29" s="5"/>
      <c r="V29" s="39"/>
    </row>
    <row r="30" customFormat="false" ht="15" hidden="false" customHeight="false" outlineLevel="0" collapsed="false">
      <c r="A30" s="5"/>
      <c r="B30" s="5"/>
      <c r="C30" s="55"/>
      <c r="D30" s="56"/>
      <c r="E30" s="56"/>
      <c r="F30" s="56"/>
      <c r="G30" s="56"/>
      <c r="H30" s="56"/>
      <c r="I30" s="56"/>
      <c r="J30" s="56"/>
      <c r="K30" s="56"/>
      <c r="L30" s="54" t="str">
        <f aca="false">IF(OR(E30="",D30=""),"",ROUND((E30-D30)*86400,0))</f>
        <v/>
      </c>
      <c r="M30" s="54" t="str">
        <f aca="false">IF(OR(G30="",F30=""),"",ROUND((G30-F30)*86400,0))</f>
        <v/>
      </c>
      <c r="N30" s="54" t="str">
        <f aca="false">IF(OR(I30="",H30=""),"",ROUND((I30-H30)*86400,0))</f>
        <v/>
      </c>
      <c r="O30" s="54" t="str">
        <f aca="false">IF(OR(I30="",G30=""),"",ROUND((I30-G30)*86400,0))</f>
        <v/>
      </c>
      <c r="P30" s="54" t="str">
        <f aca="false">IF(OR(H30="",G30=""),"",ROUND((H30-G30)*86400,0))</f>
        <v/>
      </c>
      <c r="Q30" s="54" t="str">
        <f aca="false">IF(OR(J30="",I30=""),"",ROUND((J30-I30)*86400,0))</f>
        <v/>
      </c>
      <c r="R30" s="54" t="str">
        <f aca="false">IF(OR(K30="",E30=""),"",ROUND((K30-E30)*86400,0))</f>
        <v/>
      </c>
      <c r="S30" s="40" t="str">
        <f aca="false">IF(OR(T30="",U30=""),"",T30-U30)</f>
        <v/>
      </c>
      <c r="T30" s="5"/>
      <c r="U30" s="5"/>
      <c r="V30" s="39"/>
    </row>
    <row r="31" customFormat="false" ht="15" hidden="false" customHeight="false" outlineLevel="0" collapsed="false">
      <c r="A31" s="5"/>
      <c r="B31" s="5"/>
      <c r="C31" s="55"/>
      <c r="D31" s="56"/>
      <c r="E31" s="56"/>
      <c r="F31" s="56"/>
      <c r="G31" s="56"/>
      <c r="H31" s="56"/>
      <c r="I31" s="56"/>
      <c r="J31" s="56"/>
      <c r="K31" s="56"/>
      <c r="L31" s="54" t="str">
        <f aca="false">IF(OR(E31="",D31=""),"",ROUND((E31-D31)*86400,0))</f>
        <v/>
      </c>
      <c r="M31" s="54" t="str">
        <f aca="false">IF(OR(G31="",F31=""),"",ROUND((G31-F31)*86400,0))</f>
        <v/>
      </c>
      <c r="N31" s="54" t="str">
        <f aca="false">IF(OR(I31="",H31=""),"",ROUND((I31-H31)*86400,0))</f>
        <v/>
      </c>
      <c r="O31" s="54" t="str">
        <f aca="false">IF(OR(I31="",G31=""),"",ROUND((I31-G31)*86400,0))</f>
        <v/>
      </c>
      <c r="P31" s="54" t="str">
        <f aca="false">IF(OR(H31="",G31=""),"",ROUND((H31-G31)*86400,0))</f>
        <v/>
      </c>
      <c r="Q31" s="54" t="str">
        <f aca="false">IF(OR(J31="",I31=""),"",ROUND((J31-I31)*86400,0))</f>
        <v/>
      </c>
      <c r="R31" s="54" t="str">
        <f aca="false">IF(OR(K31="",E31=""),"",ROUND((K31-E31)*86400,0))</f>
        <v/>
      </c>
      <c r="S31" s="40" t="str">
        <f aca="false">IF(OR(T31="",U31=""),"",T31-U31)</f>
        <v/>
      </c>
      <c r="T31" s="5"/>
      <c r="U31" s="5"/>
      <c r="V31" s="39"/>
    </row>
    <row r="32" customFormat="false" ht="15" hidden="false" customHeight="false" outlineLevel="0" collapsed="false">
      <c r="A32" s="5"/>
      <c r="B32" s="5"/>
      <c r="C32" s="55"/>
      <c r="D32" s="56"/>
      <c r="E32" s="56"/>
      <c r="F32" s="56"/>
      <c r="G32" s="56"/>
      <c r="H32" s="56"/>
      <c r="I32" s="56"/>
      <c r="J32" s="56"/>
      <c r="K32" s="56"/>
      <c r="L32" s="54" t="str">
        <f aca="false">IF(OR(E32="",D32=""),"",ROUND((E32-D32)*86400,0))</f>
        <v/>
      </c>
      <c r="M32" s="54" t="str">
        <f aca="false">IF(OR(G32="",F32=""),"",ROUND((G32-F32)*86400,0))</f>
        <v/>
      </c>
      <c r="N32" s="54" t="str">
        <f aca="false">IF(OR(I32="",H32=""),"",ROUND((I32-H32)*86400,0))</f>
        <v/>
      </c>
      <c r="O32" s="54" t="str">
        <f aca="false">IF(OR(I32="",G32=""),"",ROUND((I32-G32)*86400,0))</f>
        <v/>
      </c>
      <c r="P32" s="54" t="str">
        <f aca="false">IF(OR(H32="",G32=""),"",ROUND((H32-G32)*86400,0))</f>
        <v/>
      </c>
      <c r="Q32" s="54" t="str">
        <f aca="false">IF(OR(J32="",I32=""),"",ROUND((J32-I32)*86400,0))</f>
        <v/>
      </c>
      <c r="R32" s="54" t="str">
        <f aca="false">IF(OR(K32="",E32=""),"",ROUND((K32-E32)*86400,0))</f>
        <v/>
      </c>
      <c r="S32" s="40" t="str">
        <f aca="false">IF(OR(T32="",U32=""),"",T32-U32)</f>
        <v/>
      </c>
      <c r="T32" s="5"/>
      <c r="U32" s="5"/>
      <c r="V32" s="39"/>
    </row>
    <row r="33" customFormat="false" ht="15" hidden="false" customHeight="false" outlineLevel="0" collapsed="false">
      <c r="A33" s="5"/>
      <c r="B33" s="5"/>
      <c r="C33" s="55"/>
      <c r="D33" s="56"/>
      <c r="E33" s="56"/>
      <c r="F33" s="56"/>
      <c r="G33" s="56"/>
      <c r="H33" s="56"/>
      <c r="I33" s="56"/>
      <c r="J33" s="56"/>
      <c r="K33" s="56"/>
      <c r="L33" s="54" t="str">
        <f aca="false">IF(OR(E33="",D33=""),"",ROUND((E33-D33)*86400,0))</f>
        <v/>
      </c>
      <c r="M33" s="54" t="str">
        <f aca="false">IF(OR(G33="",F33=""),"",ROUND((G33-F33)*86400,0))</f>
        <v/>
      </c>
      <c r="N33" s="54" t="str">
        <f aca="false">IF(OR(I33="",H33=""),"",ROUND((I33-H33)*86400,0))</f>
        <v/>
      </c>
      <c r="O33" s="54" t="str">
        <f aca="false">IF(OR(I33="",G33=""),"",ROUND((I33-G33)*86400,0))</f>
        <v/>
      </c>
      <c r="P33" s="54" t="str">
        <f aca="false">IF(OR(H33="",G33=""),"",ROUND((H33-G33)*86400,0))</f>
        <v/>
      </c>
      <c r="Q33" s="54" t="str">
        <f aca="false">IF(OR(J33="",I33=""),"",ROUND((J33-I33)*86400,0))</f>
        <v/>
      </c>
      <c r="R33" s="54" t="str">
        <f aca="false">IF(OR(K33="",E33=""),"",ROUND((K33-E33)*86400,0))</f>
        <v/>
      </c>
      <c r="S33" s="40" t="str">
        <f aca="false">IF(OR(T33="",U33=""),"",T33-U33)</f>
        <v/>
      </c>
      <c r="T33" s="5"/>
      <c r="U33" s="5"/>
      <c r="V33" s="39"/>
    </row>
    <row r="34" customFormat="false" ht="15" hidden="false" customHeight="false" outlineLevel="0" collapsed="false">
      <c r="A34" s="5"/>
      <c r="B34" s="5"/>
      <c r="C34" s="55"/>
      <c r="D34" s="56"/>
      <c r="E34" s="56"/>
      <c r="F34" s="56"/>
      <c r="G34" s="56"/>
      <c r="H34" s="56"/>
      <c r="I34" s="56"/>
      <c r="J34" s="56"/>
      <c r="K34" s="56"/>
      <c r="L34" s="54" t="str">
        <f aca="false">IF(OR(E34="",D34=""),"",ROUND((E34-D34)*86400,0))</f>
        <v/>
      </c>
      <c r="M34" s="54" t="str">
        <f aca="false">IF(OR(G34="",F34=""),"",ROUND((G34-F34)*86400,0))</f>
        <v/>
      </c>
      <c r="N34" s="54" t="str">
        <f aca="false">IF(OR(I34="",H34=""),"",ROUND((I34-H34)*86400,0))</f>
        <v/>
      </c>
      <c r="O34" s="54" t="str">
        <f aca="false">IF(OR(I34="",G34=""),"",ROUND((I34-G34)*86400,0))</f>
        <v/>
      </c>
      <c r="P34" s="54" t="str">
        <f aca="false">IF(OR(H34="",G34=""),"",ROUND((H34-G34)*86400,0))</f>
        <v/>
      </c>
      <c r="Q34" s="54" t="str">
        <f aca="false">IF(OR(J34="",I34=""),"",ROUND((J34-I34)*86400,0))</f>
        <v/>
      </c>
      <c r="R34" s="54" t="str">
        <f aca="false">IF(OR(K34="",E34=""),"",ROUND((K34-E34)*86400,0))</f>
        <v/>
      </c>
      <c r="S34" s="40" t="str">
        <f aca="false">IF(OR(T34="",U34=""),"",T34-U34)</f>
        <v/>
      </c>
      <c r="T34" s="5"/>
      <c r="U34" s="5"/>
      <c r="V34" s="39"/>
    </row>
    <row r="35" customFormat="false" ht="15" hidden="false" customHeight="false" outlineLevel="0" collapsed="false">
      <c r="A35" s="5"/>
      <c r="B35" s="5"/>
      <c r="C35" s="55"/>
      <c r="D35" s="56"/>
      <c r="E35" s="56"/>
      <c r="F35" s="56"/>
      <c r="G35" s="56"/>
      <c r="H35" s="56"/>
      <c r="I35" s="56"/>
      <c r="J35" s="56"/>
      <c r="K35" s="56"/>
      <c r="L35" s="54" t="str">
        <f aca="false">IF(OR(E35="",D35=""),"",ROUND((E35-D35)*86400,0))</f>
        <v/>
      </c>
      <c r="M35" s="54" t="str">
        <f aca="false">IF(OR(G35="",F35=""),"",ROUND((G35-F35)*86400,0))</f>
        <v/>
      </c>
      <c r="N35" s="54" t="str">
        <f aca="false">IF(OR(I35="",H35=""),"",ROUND((I35-H35)*86400,0))</f>
        <v/>
      </c>
      <c r="O35" s="54" t="str">
        <f aca="false">IF(OR(I35="",G35=""),"",ROUND((I35-G35)*86400,0))</f>
        <v/>
      </c>
      <c r="P35" s="54" t="str">
        <f aca="false">IF(OR(H35="",G35=""),"",ROUND((H35-G35)*86400,0))</f>
        <v/>
      </c>
      <c r="Q35" s="54" t="str">
        <f aca="false">IF(OR(J35="",I35=""),"",ROUND((J35-I35)*86400,0))</f>
        <v/>
      </c>
      <c r="R35" s="54" t="str">
        <f aca="false">IF(OR(K35="",E35=""),"",ROUND((K35-E35)*86400,0))</f>
        <v/>
      </c>
      <c r="S35" s="40" t="str">
        <f aca="false">IF(OR(T35="",U35=""),"",T35-U35)</f>
        <v/>
      </c>
      <c r="T35" s="5"/>
      <c r="U35" s="5"/>
      <c r="V35" s="39"/>
    </row>
    <row r="36" customFormat="false" ht="15" hidden="false" customHeight="false" outlineLevel="0" collapsed="false">
      <c r="A36" s="5"/>
      <c r="B36" s="5"/>
      <c r="C36" s="55"/>
      <c r="D36" s="56"/>
      <c r="E36" s="56"/>
      <c r="F36" s="56"/>
      <c r="G36" s="56"/>
      <c r="H36" s="56"/>
      <c r="I36" s="56"/>
      <c r="J36" s="56"/>
      <c r="K36" s="56"/>
      <c r="L36" s="54" t="str">
        <f aca="false">IF(OR(E36="",D36=""),"",ROUND((E36-D36)*86400,0))</f>
        <v/>
      </c>
      <c r="M36" s="54" t="str">
        <f aca="false">IF(OR(G36="",F36=""),"",ROUND((G36-F36)*86400,0))</f>
        <v/>
      </c>
      <c r="N36" s="54" t="str">
        <f aca="false">IF(OR(I36="",H36=""),"",ROUND((I36-H36)*86400,0))</f>
        <v/>
      </c>
      <c r="O36" s="54" t="str">
        <f aca="false">IF(OR(I36="",G36=""),"",ROUND((I36-G36)*86400,0))</f>
        <v/>
      </c>
      <c r="P36" s="54" t="str">
        <f aca="false">IF(OR(H36="",G36=""),"",ROUND((H36-G36)*86400,0))</f>
        <v/>
      </c>
      <c r="Q36" s="54" t="str">
        <f aca="false">IF(OR(J36="",I36=""),"",ROUND((J36-I36)*86400,0))</f>
        <v/>
      </c>
      <c r="R36" s="54" t="str">
        <f aca="false">IF(OR(K36="",E36=""),"",ROUND((K36-E36)*86400,0))</f>
        <v/>
      </c>
      <c r="S36" s="40" t="str">
        <f aca="false">IF(OR(T36="",U36=""),"",T36-U36)</f>
        <v/>
      </c>
      <c r="T36" s="5"/>
      <c r="U36" s="5"/>
      <c r="V36" s="39"/>
    </row>
    <row r="37" customFormat="false" ht="15" hidden="false" customHeight="false" outlineLevel="0" collapsed="false">
      <c r="A37" s="5"/>
      <c r="B37" s="5"/>
      <c r="C37" s="55"/>
      <c r="D37" s="56"/>
      <c r="E37" s="56"/>
      <c r="F37" s="56"/>
      <c r="G37" s="56"/>
      <c r="H37" s="56"/>
      <c r="I37" s="56"/>
      <c r="J37" s="56"/>
      <c r="K37" s="56"/>
      <c r="L37" s="54" t="str">
        <f aca="false">IF(OR(E37="",D37=""),"",ROUND((E37-D37)*86400,0))</f>
        <v/>
      </c>
      <c r="M37" s="54" t="str">
        <f aca="false">IF(OR(G37="",F37=""),"",ROUND((G37-F37)*86400,0))</f>
        <v/>
      </c>
      <c r="N37" s="54" t="str">
        <f aca="false">IF(OR(I37="",H37=""),"",ROUND((I37-H37)*86400,0))</f>
        <v/>
      </c>
      <c r="O37" s="54" t="str">
        <f aca="false">IF(OR(I37="",G37=""),"",ROUND((I37-G37)*86400,0))</f>
        <v/>
      </c>
      <c r="P37" s="54" t="str">
        <f aca="false">IF(OR(H37="",G37=""),"",ROUND((H37-G37)*86400,0))</f>
        <v/>
      </c>
      <c r="Q37" s="54" t="str">
        <f aca="false">IF(OR(J37="",I37=""),"",ROUND((J37-I37)*86400,0))</f>
        <v/>
      </c>
      <c r="R37" s="54" t="str">
        <f aca="false">IF(OR(K37="",E37=""),"",ROUND((K37-E37)*86400,0))</f>
        <v/>
      </c>
      <c r="S37" s="40" t="str">
        <f aca="false">IF(OR(T37="",U37=""),"",T37-U37)</f>
        <v/>
      </c>
      <c r="T37" s="5"/>
      <c r="U37" s="5"/>
      <c r="V37" s="39"/>
    </row>
    <row r="38" customFormat="false" ht="15" hidden="false" customHeight="false" outlineLevel="0" collapsed="false">
      <c r="A38" s="5"/>
      <c r="B38" s="5"/>
      <c r="C38" s="55"/>
      <c r="D38" s="56"/>
      <c r="E38" s="56"/>
      <c r="F38" s="56"/>
      <c r="G38" s="56"/>
      <c r="H38" s="56"/>
      <c r="I38" s="56"/>
      <c r="J38" s="56"/>
      <c r="K38" s="56"/>
      <c r="L38" s="54" t="str">
        <f aca="false">IF(OR(E38="",D38=""),"",ROUND((E38-D38)*86400,0))</f>
        <v/>
      </c>
      <c r="M38" s="54" t="str">
        <f aca="false">IF(OR(G38="",F38=""),"",ROUND((G38-F38)*86400,0))</f>
        <v/>
      </c>
      <c r="N38" s="54" t="str">
        <f aca="false">IF(OR(I38="",H38=""),"",ROUND((I38-H38)*86400,0))</f>
        <v/>
      </c>
      <c r="O38" s="54" t="str">
        <f aca="false">IF(OR(I38="",G38=""),"",ROUND((I38-G38)*86400,0))</f>
        <v/>
      </c>
      <c r="P38" s="54" t="str">
        <f aca="false">IF(OR(H38="",G38=""),"",ROUND((H38-G38)*86400,0))</f>
        <v/>
      </c>
      <c r="Q38" s="54" t="str">
        <f aca="false">IF(OR(J38="",I38=""),"",ROUND((J38-I38)*86400,0))</f>
        <v/>
      </c>
      <c r="R38" s="54" t="str">
        <f aca="false">IF(OR(K38="",E38=""),"",ROUND((K38-E38)*86400,0))</f>
        <v/>
      </c>
      <c r="S38" s="40" t="str">
        <f aca="false">IF(OR(T38="",U38=""),"",T38-U38)</f>
        <v/>
      </c>
      <c r="T38" s="5"/>
      <c r="U38" s="5"/>
      <c r="V38" s="39"/>
    </row>
    <row r="39" customFormat="false" ht="15" hidden="false" customHeight="false" outlineLevel="0" collapsed="false">
      <c r="A39" s="5"/>
      <c r="B39" s="5"/>
      <c r="C39" s="55"/>
      <c r="D39" s="56"/>
      <c r="E39" s="56"/>
      <c r="F39" s="56"/>
      <c r="G39" s="56"/>
      <c r="H39" s="56"/>
      <c r="I39" s="56"/>
      <c r="J39" s="56"/>
      <c r="K39" s="56"/>
      <c r="L39" s="54" t="str">
        <f aca="false">IF(OR(E39="",D39=""),"",ROUND((E39-D39)*86400,0))</f>
        <v/>
      </c>
      <c r="M39" s="54" t="str">
        <f aca="false">IF(OR(G39="",F39=""),"",ROUND((G39-F39)*86400,0))</f>
        <v/>
      </c>
      <c r="N39" s="54" t="str">
        <f aca="false">IF(OR(I39="",H39=""),"",ROUND((I39-H39)*86400,0))</f>
        <v/>
      </c>
      <c r="O39" s="54" t="str">
        <f aca="false">IF(OR(I39="",G39=""),"",ROUND((I39-G39)*86400,0))</f>
        <v/>
      </c>
      <c r="P39" s="54" t="str">
        <f aca="false">IF(OR(H39="",G39=""),"",ROUND((H39-G39)*86400,0))</f>
        <v/>
      </c>
      <c r="Q39" s="54" t="str">
        <f aca="false">IF(OR(J39="",I39=""),"",ROUND((J39-I39)*86400,0))</f>
        <v/>
      </c>
      <c r="R39" s="54" t="str">
        <f aca="false">IF(OR(K39="",E39=""),"",ROUND((K39-E39)*86400,0))</f>
        <v/>
      </c>
      <c r="S39" s="40" t="str">
        <f aca="false">IF(OR(T39="",U39=""),"",T39-U39)</f>
        <v/>
      </c>
      <c r="T39" s="5"/>
      <c r="U39" s="5"/>
      <c r="V39" s="39"/>
    </row>
    <row r="40" customFormat="false" ht="15" hidden="false" customHeight="false" outlineLevel="0" collapsed="false">
      <c r="A40" s="5"/>
      <c r="B40" s="5"/>
      <c r="C40" s="55"/>
      <c r="D40" s="56"/>
      <c r="E40" s="56"/>
      <c r="F40" s="56"/>
      <c r="G40" s="56"/>
      <c r="H40" s="56"/>
      <c r="I40" s="56"/>
      <c r="J40" s="56"/>
      <c r="K40" s="56"/>
      <c r="L40" s="54" t="str">
        <f aca="false">IF(OR(E40="",D40=""),"",ROUND((E40-D40)*86400,0))</f>
        <v/>
      </c>
      <c r="M40" s="54" t="str">
        <f aca="false">IF(OR(G40="",F40=""),"",ROUND((G40-F40)*86400,0))</f>
        <v/>
      </c>
      <c r="N40" s="54" t="str">
        <f aca="false">IF(OR(I40="",H40=""),"",ROUND((I40-H40)*86400,0))</f>
        <v/>
      </c>
      <c r="O40" s="54" t="str">
        <f aca="false">IF(OR(I40="",G40=""),"",ROUND((I40-G40)*86400,0))</f>
        <v/>
      </c>
      <c r="P40" s="54" t="str">
        <f aca="false">IF(OR(H40="",G40=""),"",ROUND((H40-G40)*86400,0))</f>
        <v/>
      </c>
      <c r="Q40" s="54" t="str">
        <f aca="false">IF(OR(J40="",I40=""),"",ROUND((J40-I40)*86400,0))</f>
        <v/>
      </c>
      <c r="R40" s="54" t="str">
        <f aca="false">IF(OR(K40="",E40=""),"",ROUND((K40-E40)*86400,0))</f>
        <v/>
      </c>
      <c r="S40" s="40" t="str">
        <f aca="false">IF(OR(T40="",U40=""),"",T40-U40)</f>
        <v/>
      </c>
      <c r="T40" s="5"/>
      <c r="U40" s="5"/>
      <c r="V40" s="39"/>
    </row>
    <row r="42" customFormat="false" ht="15" hidden="false" customHeight="false" outlineLevel="0" collapsed="false">
      <c r="A42" s="37" t="s">
        <v>257</v>
      </c>
    </row>
    <row r="43" customFormat="false" ht="15" hidden="false" customHeight="false" outlineLevel="0" collapsed="false">
      <c r="A43" s="37" t="s">
        <v>258</v>
      </c>
    </row>
  </sheetData>
  <mergeCells count="3">
    <mergeCell ref="A1:V1"/>
    <mergeCell ref="A2:V2"/>
    <mergeCell ref="A3:B3"/>
  </mergeCells>
  <dataValidations count="2">
    <dataValidation allowBlank="true" errorStyle="stop" operator="between" showDropDown="false" showErrorMessage="false" showInputMessage="false" sqref="A7:A21" type="list">
      <formula1>"AHU-G203,AHU-G204,AHU-G213,AHU-G301,AHU-G107"</formula1>
      <formula2>0</formula2>
    </dataValidation>
    <dataValidation allowBlank="true" errorStyle="stop" operator="between" showDropDown="false" showErrorMessage="false" showInputMessage="false" sqref="A26:A40" type="list">
      <formula1>"AHU-G203,AHU-G204,AHU-G213,AHU-G301,AHU-G107"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9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25.5" hidden="false" customHeight="true" outlineLevel="0" collapsed="false">
      <c r="A1" s="23" t="s">
        <v>259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30" hidden="false" customHeight="true" outlineLevel="0" collapsed="false">
      <c r="A2" s="2" t="s">
        <v>260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A4" s="57" t="s">
        <v>261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customFormat="false" ht="25.35" hidden="false" customHeight="false" outlineLevel="0" collapsed="false">
      <c r="A5" s="27" t="s">
        <v>262</v>
      </c>
      <c r="B5" s="44" t="s">
        <v>263</v>
      </c>
      <c r="C5" s="27" t="s">
        <v>17</v>
      </c>
      <c r="D5" s="44" t="s">
        <v>30</v>
      </c>
      <c r="E5" s="58" t="s">
        <v>264</v>
      </c>
      <c r="F5" s="44" t="n">
        <v>20</v>
      </c>
      <c r="G5" s="58" t="s">
        <v>265</v>
      </c>
      <c r="H5" s="44" t="n">
        <v>10</v>
      </c>
      <c r="I5" s="58" t="s">
        <v>266</v>
      </c>
      <c r="J5" s="44" t="n">
        <v>5</v>
      </c>
      <c r="K5" s="58" t="s">
        <v>267</v>
      </c>
      <c r="L5" s="44" t="n">
        <v>0.5</v>
      </c>
    </row>
    <row r="6" customFormat="false" ht="36" hidden="false" customHeight="true" outlineLevel="0" collapsed="false">
      <c r="A6" s="15" t="s">
        <v>268</v>
      </c>
      <c r="B6" s="15" t="s">
        <v>144</v>
      </c>
      <c r="C6" s="14" t="s">
        <v>269</v>
      </c>
      <c r="D6" s="14" t="s">
        <v>270</v>
      </c>
      <c r="E6" s="15" t="s">
        <v>271</v>
      </c>
      <c r="F6" s="15" t="s">
        <v>272</v>
      </c>
      <c r="G6" s="15" t="s">
        <v>273</v>
      </c>
      <c r="H6" s="15" t="s">
        <v>274</v>
      </c>
      <c r="I6" s="15" t="s">
        <v>275</v>
      </c>
      <c r="J6" s="15" t="s">
        <v>276</v>
      </c>
      <c r="K6" s="15" t="s">
        <v>213</v>
      </c>
      <c r="L6" s="15" t="s">
        <v>277</v>
      </c>
    </row>
    <row r="7" customFormat="false" ht="15" hidden="false" customHeight="false" outlineLevel="0" collapsed="false">
      <c r="A7" s="59" t="n">
        <v>0</v>
      </c>
      <c r="B7" s="46"/>
      <c r="C7" s="44" t="n">
        <v>10</v>
      </c>
      <c r="D7" s="44" t="n">
        <v>10</v>
      </c>
      <c r="E7" s="60" t="n">
        <v>17.5</v>
      </c>
      <c r="F7" s="9" t="s">
        <v>89</v>
      </c>
      <c r="G7" s="60" t="n">
        <v>20</v>
      </c>
      <c r="H7" s="44" t="n">
        <v>45</v>
      </c>
      <c r="I7" s="60" t="n">
        <v>7.2</v>
      </c>
      <c r="J7" s="44" t="n">
        <v>0</v>
      </c>
      <c r="K7" s="9" t="str">
        <f aca="false">IF(OR(F7="",F7="-",$L$5=""),"",IF(F7&gt;$L$5,"초과",IF(AND($F$5&lt;&gt;"",E7&gt;$F$5+1),"오버슈트","OK")))</f>
        <v/>
      </c>
      <c r="L7" s="47"/>
    </row>
    <row r="8" customFormat="false" ht="15" hidden="false" customHeight="false" outlineLevel="0" collapsed="false">
      <c r="A8" s="59" t="n">
        <v>1</v>
      </c>
      <c r="B8" s="46"/>
      <c r="C8" s="44" t="n">
        <v>15</v>
      </c>
      <c r="D8" s="44" t="n">
        <v>15</v>
      </c>
      <c r="E8" s="60" t="n">
        <v>17.6</v>
      </c>
      <c r="F8" s="61" t="n">
        <f aca="false">IF(OR(E8="",E7=""),"",E8-E7)</f>
        <v>0.100000000000001</v>
      </c>
      <c r="G8" s="60" t="n">
        <v>20.02</v>
      </c>
      <c r="H8" s="44" t="n">
        <v>45</v>
      </c>
      <c r="I8" s="60" t="n">
        <v>7.2</v>
      </c>
      <c r="J8" s="44" t="n">
        <v>0</v>
      </c>
      <c r="K8" s="9" t="str">
        <f aca="false">IF(OR(F8="",F8="-",$L$5=""),"",IF(F8&gt;$L$5,"초과",IF(AND($F$5&lt;&gt;"",E8&gt;$F$5+1),"오버슈트","OK")))</f>
        <v>OK</v>
      </c>
      <c r="L8" s="47"/>
    </row>
    <row r="9" customFormat="false" ht="15" hidden="false" customHeight="false" outlineLevel="0" collapsed="false">
      <c r="A9" s="59" t="n">
        <v>2</v>
      </c>
      <c r="B9" s="46"/>
      <c r="C9" s="44" t="n">
        <v>20</v>
      </c>
      <c r="D9" s="44" t="n">
        <v>20</v>
      </c>
      <c r="E9" s="60" t="n">
        <v>17.9</v>
      </c>
      <c r="F9" s="61" t="n">
        <f aca="false">IF(OR(E9="",E8=""),"",E9-E8)</f>
        <v>0.299999999999997</v>
      </c>
      <c r="G9" s="60" t="n">
        <v>20.04</v>
      </c>
      <c r="H9" s="44" t="n">
        <v>45</v>
      </c>
      <c r="I9" s="60" t="n">
        <v>7.2</v>
      </c>
      <c r="J9" s="44" t="n">
        <v>0</v>
      </c>
      <c r="K9" s="9" t="str">
        <f aca="false">IF(OR(F9="",F9="-",$L$5=""),"",IF(F9&gt;$L$5,"초과",IF(AND($F$5&lt;&gt;"",E9&gt;$F$5+1),"오버슈트","OK")))</f>
        <v>OK</v>
      </c>
      <c r="L9" s="47"/>
    </row>
    <row r="10" customFormat="false" ht="15" hidden="false" customHeight="false" outlineLevel="0" collapsed="false">
      <c r="A10" s="59" t="n">
        <v>3</v>
      </c>
      <c r="B10" s="46"/>
      <c r="C10" s="44" t="n">
        <v>25</v>
      </c>
      <c r="D10" s="44" t="n">
        <v>25</v>
      </c>
      <c r="E10" s="60" t="n">
        <v>18.4</v>
      </c>
      <c r="F10" s="61" t="n">
        <f aca="false">IF(OR(E10="",E9=""),"",E10-E9)</f>
        <v>0.5</v>
      </c>
      <c r="G10" s="60" t="n">
        <v>20.06</v>
      </c>
      <c r="H10" s="44" t="n">
        <v>45</v>
      </c>
      <c r="I10" s="60" t="n">
        <v>7.2</v>
      </c>
      <c r="J10" s="44" t="n">
        <v>0</v>
      </c>
      <c r="K10" s="9" t="str">
        <f aca="false">IF(OR(F10="",F10="-",$L$5=""),"",IF(F10&gt;$L$5,"초과",IF(AND($F$5&lt;&gt;"",E10&gt;$F$5+1),"오버슈트","OK")))</f>
        <v>OK</v>
      </c>
      <c r="L10" s="47"/>
    </row>
    <row r="11" customFormat="false" ht="15" hidden="false" customHeight="false" outlineLevel="0" collapsed="false">
      <c r="A11" s="59" t="n">
        <v>4</v>
      </c>
      <c r="B11" s="46"/>
      <c r="C11" s="44" t="n">
        <v>30</v>
      </c>
      <c r="D11" s="44" t="n">
        <v>30</v>
      </c>
      <c r="E11" s="60" t="n">
        <v>18.9</v>
      </c>
      <c r="F11" s="61" t="n">
        <f aca="false">IF(OR(E11="",E10=""),"",E11-E10)</f>
        <v>0.5</v>
      </c>
      <c r="G11" s="60" t="n">
        <v>20.08</v>
      </c>
      <c r="H11" s="44" t="n">
        <v>45</v>
      </c>
      <c r="I11" s="60" t="n">
        <v>7.2</v>
      </c>
      <c r="J11" s="44" t="n">
        <v>0</v>
      </c>
      <c r="K11" s="9" t="str">
        <f aca="false">IF(OR(F11="",F11="-",$L$5=""),"",IF(F11&gt;$L$5,"초과",IF(AND($F$5&lt;&gt;"",E11&gt;$F$5+1),"오버슈트","OK")))</f>
        <v>OK</v>
      </c>
      <c r="L11" s="47"/>
    </row>
    <row r="12" customFormat="false" ht="15" hidden="false" customHeight="false" outlineLevel="0" collapsed="false">
      <c r="A12" s="59" t="n">
        <v>5</v>
      </c>
      <c r="B12" s="46"/>
      <c r="C12" s="44" t="n">
        <v>35</v>
      </c>
      <c r="D12" s="44" t="n">
        <v>35</v>
      </c>
      <c r="E12" s="60" t="n">
        <v>19.3</v>
      </c>
      <c r="F12" s="61" t="n">
        <f aca="false">IF(OR(E12="",E11=""),"",E12-E11)</f>
        <v>0.400000000000002</v>
      </c>
      <c r="G12" s="60" t="n">
        <v>20.1</v>
      </c>
      <c r="H12" s="44" t="n">
        <v>45</v>
      </c>
      <c r="I12" s="60" t="n">
        <v>7.2</v>
      </c>
      <c r="J12" s="44" t="n">
        <v>0</v>
      </c>
      <c r="K12" s="9" t="str">
        <f aca="false">IF(OR(F12="",F12="-",$L$5=""),"",IF(F12&gt;$L$5,"초과",IF(AND($F$5&lt;&gt;"",E12&gt;$F$5+1),"오버슈트","OK")))</f>
        <v>OK</v>
      </c>
      <c r="L12" s="47"/>
    </row>
    <row r="13" customFormat="false" ht="15" hidden="false" customHeight="false" outlineLevel="0" collapsed="false">
      <c r="A13" s="59" t="n">
        <v>6</v>
      </c>
      <c r="B13" s="46"/>
      <c r="C13" s="44" t="n">
        <v>35</v>
      </c>
      <c r="D13" s="44" t="n">
        <v>35</v>
      </c>
      <c r="E13" s="60" t="n">
        <v>19.7</v>
      </c>
      <c r="F13" s="61" t="n">
        <f aca="false">IF(OR(E13="",E12=""),"",E13-E12)</f>
        <v>0.399999999999999</v>
      </c>
      <c r="G13" s="60" t="n">
        <v>20.12</v>
      </c>
      <c r="H13" s="44" t="n">
        <v>45</v>
      </c>
      <c r="I13" s="60" t="n">
        <v>7.2</v>
      </c>
      <c r="J13" s="44" t="n">
        <v>0</v>
      </c>
      <c r="K13" s="9" t="str">
        <f aca="false">IF(OR(F13="",F13="-",$L$5=""),"",IF(F13&gt;$L$5,"초과",IF(AND($F$5&lt;&gt;"",E13&gt;$F$5+1),"오버슈트","OK")))</f>
        <v>OK</v>
      </c>
      <c r="L13" s="47"/>
    </row>
    <row r="14" customFormat="false" ht="15" hidden="false" customHeight="false" outlineLevel="0" collapsed="false">
      <c r="A14" s="59" t="n">
        <v>7</v>
      </c>
      <c r="B14" s="46"/>
      <c r="C14" s="44" t="n">
        <v>33</v>
      </c>
      <c r="D14" s="44" t="n">
        <v>33</v>
      </c>
      <c r="E14" s="60" t="n">
        <v>20</v>
      </c>
      <c r="F14" s="61" t="n">
        <f aca="false">IF(OR(E14="",E13=""),"",E14-E13)</f>
        <v>0.300000000000001</v>
      </c>
      <c r="G14" s="60" t="n">
        <v>20.14</v>
      </c>
      <c r="H14" s="44" t="n">
        <v>45</v>
      </c>
      <c r="I14" s="60" t="n">
        <v>7.2</v>
      </c>
      <c r="J14" s="44" t="n">
        <v>0</v>
      </c>
      <c r="K14" s="9" t="str">
        <f aca="false">IF(OR(F14="",F14="-",$L$5=""),"",IF(F14&gt;$L$5,"초과",IF(AND($F$5&lt;&gt;"",E14&gt;$F$5+1),"오버슈트","OK")))</f>
        <v>OK</v>
      </c>
      <c r="L14" s="47"/>
    </row>
    <row r="15" customFormat="false" ht="15" hidden="false" customHeight="false" outlineLevel="0" collapsed="false">
      <c r="A15" s="59" t="n">
        <v>8</v>
      </c>
      <c r="B15" s="46"/>
      <c r="C15" s="44" t="n">
        <v>30</v>
      </c>
      <c r="D15" s="44" t="n">
        <v>30</v>
      </c>
      <c r="E15" s="60" t="n">
        <v>20.2</v>
      </c>
      <c r="F15" s="61" t="n">
        <f aca="false">IF(OR(E15="",E14=""),"",E15-E14)</f>
        <v>0.199999999999999</v>
      </c>
      <c r="G15" s="60" t="n">
        <v>20.16</v>
      </c>
      <c r="H15" s="44" t="n">
        <v>45</v>
      </c>
      <c r="I15" s="60" t="n">
        <v>7.2</v>
      </c>
      <c r="J15" s="44" t="n">
        <v>0</v>
      </c>
      <c r="K15" s="9" t="str">
        <f aca="false">IF(OR(F15="",F15="-",$L$5=""),"",IF(F15&gt;$L$5,"초과",IF(AND($F$5&lt;&gt;"",E15&gt;$F$5+1),"오버슈트","OK")))</f>
        <v>OK</v>
      </c>
      <c r="L15" s="47"/>
    </row>
    <row r="16" customFormat="false" ht="15" hidden="false" customHeight="false" outlineLevel="0" collapsed="false">
      <c r="A16" s="59" t="n">
        <v>9</v>
      </c>
      <c r="B16" s="46"/>
      <c r="C16" s="44" t="n">
        <v>28</v>
      </c>
      <c r="D16" s="44" t="n">
        <v>28</v>
      </c>
      <c r="E16" s="60" t="n">
        <v>20.3</v>
      </c>
      <c r="F16" s="61" t="n">
        <f aca="false">IF(OR(E16="",E15=""),"",E16-E15)</f>
        <v>0.100000000000001</v>
      </c>
      <c r="G16" s="60" t="n">
        <v>20.18</v>
      </c>
      <c r="H16" s="44" t="n">
        <v>45</v>
      </c>
      <c r="I16" s="60" t="n">
        <v>7.2</v>
      </c>
      <c r="J16" s="44" t="n">
        <v>0</v>
      </c>
      <c r="K16" s="9" t="str">
        <f aca="false">IF(OR(F16="",F16="-",$L$5=""),"",IF(F16&gt;$L$5,"초과",IF(AND($F$5&lt;&gt;"",E16&gt;$F$5+1),"오버슈트","OK")))</f>
        <v>OK</v>
      </c>
      <c r="L16" s="47"/>
    </row>
    <row r="17" customFormat="false" ht="15" hidden="false" customHeight="false" outlineLevel="0" collapsed="false">
      <c r="A17" s="59" t="n">
        <v>10</v>
      </c>
      <c r="B17" s="46"/>
      <c r="C17" s="44" t="n">
        <v>28</v>
      </c>
      <c r="D17" s="44" t="n">
        <v>28</v>
      </c>
      <c r="E17" s="60" t="n">
        <v>20.2</v>
      </c>
      <c r="F17" s="61" t="n">
        <f aca="false">IF(OR(E17="",E16=""),"",E17-E16)</f>
        <v>-0.100000000000001</v>
      </c>
      <c r="G17" s="60" t="n">
        <v>20.2</v>
      </c>
      <c r="H17" s="44" t="n">
        <v>45</v>
      </c>
      <c r="I17" s="60" t="n">
        <v>7.2</v>
      </c>
      <c r="J17" s="44" t="n">
        <v>0</v>
      </c>
      <c r="K17" s="9" t="str">
        <f aca="false">IF(OR(F17="",F17="-",$L$5=""),"",IF(F17&gt;$L$5,"초과",IF(AND($F$5&lt;&gt;"",E17&gt;$F$5+1),"오버슈트","OK")))</f>
        <v>OK</v>
      </c>
      <c r="L17" s="47"/>
    </row>
    <row r="18" customFormat="false" ht="15" hidden="false" customHeight="false" outlineLevel="0" collapsed="false">
      <c r="A18" s="59" t="n">
        <v>11</v>
      </c>
      <c r="B18" s="46"/>
      <c r="C18" s="11"/>
      <c r="D18" s="11"/>
      <c r="E18" s="62"/>
      <c r="F18" s="61" t="str">
        <f aca="false">IF(OR(E18="",E17=""),"",E18-E17)</f>
        <v/>
      </c>
      <c r="G18" s="62"/>
      <c r="H18" s="11"/>
      <c r="I18" s="62"/>
      <c r="J18" s="11"/>
      <c r="K18" s="9" t="str">
        <f aca="false">IF(OR(F18="",F18="-",$L$5=""),"",IF(F18&gt;$L$5,"초과",IF(AND($F$5&lt;&gt;"",E18&gt;$F$5+1),"오버슈트","OK")))</f>
        <v/>
      </c>
      <c r="L18" s="47"/>
    </row>
    <row r="19" customFormat="false" ht="15" hidden="false" customHeight="false" outlineLevel="0" collapsed="false">
      <c r="A19" s="59" t="n">
        <v>12</v>
      </c>
      <c r="B19" s="46"/>
      <c r="C19" s="11"/>
      <c r="D19" s="11"/>
      <c r="E19" s="62"/>
      <c r="F19" s="61" t="str">
        <f aca="false">IF(OR(E19="",E18=""),"",E19-E18)</f>
        <v/>
      </c>
      <c r="G19" s="62"/>
      <c r="H19" s="11"/>
      <c r="I19" s="62"/>
      <c r="J19" s="11"/>
      <c r="K19" s="9" t="str">
        <f aca="false">IF(OR(F19="",F19="-",$L$5=""),"",IF(F19&gt;$L$5,"초과",IF(AND($F$5&lt;&gt;"",E19&gt;$F$5+1),"오버슈트","OK")))</f>
        <v/>
      </c>
      <c r="L19" s="47"/>
    </row>
    <row r="20" customFormat="false" ht="15" hidden="false" customHeight="false" outlineLevel="0" collapsed="false">
      <c r="A20" s="59" t="n">
        <v>13</v>
      </c>
      <c r="B20" s="46"/>
      <c r="C20" s="11"/>
      <c r="D20" s="11"/>
      <c r="E20" s="62"/>
      <c r="F20" s="61" t="str">
        <f aca="false">IF(OR(E20="",E19=""),"",E20-E19)</f>
        <v/>
      </c>
      <c r="G20" s="62"/>
      <c r="H20" s="11"/>
      <c r="I20" s="62"/>
      <c r="J20" s="11"/>
      <c r="K20" s="9" t="str">
        <f aca="false">IF(OR(F20="",F20="-",$L$5=""),"",IF(F20&gt;$L$5,"초과",IF(AND($F$5&lt;&gt;"",E20&gt;$F$5+1),"오버슈트","OK")))</f>
        <v/>
      </c>
      <c r="L20" s="47"/>
    </row>
    <row r="21" customFormat="false" ht="15" hidden="false" customHeight="false" outlineLevel="0" collapsed="false">
      <c r="A21" s="59" t="n">
        <v>14</v>
      </c>
      <c r="B21" s="46"/>
      <c r="C21" s="11"/>
      <c r="D21" s="11"/>
      <c r="E21" s="62"/>
      <c r="F21" s="61" t="str">
        <f aca="false">IF(OR(E21="",E20=""),"",E21-E20)</f>
        <v/>
      </c>
      <c r="G21" s="62"/>
      <c r="H21" s="11"/>
      <c r="I21" s="62"/>
      <c r="J21" s="11"/>
      <c r="K21" s="9" t="str">
        <f aca="false">IF(OR(F21="",F21="-",$L$5=""),"",IF(F21&gt;$L$5,"초과",IF(AND($F$5&lt;&gt;"",E21&gt;$F$5+1),"오버슈트","OK")))</f>
        <v/>
      </c>
      <c r="L21" s="47"/>
    </row>
    <row r="22" customFormat="false" ht="15" hidden="false" customHeight="false" outlineLevel="0" collapsed="false">
      <c r="A22" s="59" t="n">
        <v>15</v>
      </c>
      <c r="B22" s="46"/>
      <c r="C22" s="11"/>
      <c r="D22" s="11"/>
      <c r="E22" s="62"/>
      <c r="F22" s="61" t="str">
        <f aca="false">IF(OR(E22="",E21=""),"",E22-E21)</f>
        <v/>
      </c>
      <c r="G22" s="62"/>
      <c r="H22" s="11"/>
      <c r="I22" s="62"/>
      <c r="J22" s="11"/>
      <c r="K22" s="9" t="str">
        <f aca="false">IF(OR(F22="",F22="-",$L$5=""),"",IF(F22&gt;$L$5,"초과",IF(AND($F$5&lt;&gt;"",E22&gt;$F$5+1),"오버슈트","OK")))</f>
        <v/>
      </c>
      <c r="L22" s="47"/>
    </row>
    <row r="23" customFormat="false" ht="15" hidden="false" customHeight="false" outlineLevel="0" collapsed="false">
      <c r="A23" s="59" t="n">
        <v>16</v>
      </c>
      <c r="B23" s="46"/>
      <c r="C23" s="11"/>
      <c r="D23" s="11"/>
      <c r="E23" s="62"/>
      <c r="F23" s="61" t="str">
        <f aca="false">IF(OR(E23="",E22=""),"",E23-E22)</f>
        <v/>
      </c>
      <c r="G23" s="62"/>
      <c r="H23" s="11"/>
      <c r="I23" s="62"/>
      <c r="J23" s="11"/>
      <c r="K23" s="9" t="str">
        <f aca="false">IF(OR(F23="",F23="-",$L$5=""),"",IF(F23&gt;$L$5,"초과",IF(AND($F$5&lt;&gt;"",E23&gt;$F$5+1),"오버슈트","OK")))</f>
        <v/>
      </c>
      <c r="L23" s="47"/>
    </row>
    <row r="24" customFormat="false" ht="15" hidden="false" customHeight="false" outlineLevel="0" collapsed="false">
      <c r="A24" s="59" t="n">
        <v>17</v>
      </c>
      <c r="B24" s="46"/>
      <c r="C24" s="11"/>
      <c r="D24" s="11"/>
      <c r="E24" s="62"/>
      <c r="F24" s="61" t="str">
        <f aca="false">IF(OR(E24="",E23=""),"",E24-E23)</f>
        <v/>
      </c>
      <c r="G24" s="62"/>
      <c r="H24" s="11"/>
      <c r="I24" s="62"/>
      <c r="J24" s="11"/>
      <c r="K24" s="9" t="str">
        <f aca="false">IF(OR(F24="",F24="-",$L$5=""),"",IF(F24&gt;$L$5,"초과",IF(AND($F$5&lt;&gt;"",E24&gt;$F$5+1),"오버슈트","OK")))</f>
        <v/>
      </c>
      <c r="L24" s="47"/>
    </row>
    <row r="25" customFormat="false" ht="15" hidden="false" customHeight="false" outlineLevel="0" collapsed="false">
      <c r="A25" s="59" t="n">
        <v>18</v>
      </c>
      <c r="B25" s="46"/>
      <c r="C25" s="11"/>
      <c r="D25" s="11"/>
      <c r="E25" s="62"/>
      <c r="F25" s="61" t="str">
        <f aca="false">IF(OR(E25="",E24=""),"",E25-E24)</f>
        <v/>
      </c>
      <c r="G25" s="62"/>
      <c r="H25" s="11"/>
      <c r="I25" s="62"/>
      <c r="J25" s="11"/>
      <c r="K25" s="9" t="str">
        <f aca="false">IF(OR(F25="",F25="-",$L$5=""),"",IF(F25&gt;$L$5,"초과",IF(AND($F$5&lt;&gt;"",E25&gt;$F$5+1),"오버슈트","OK")))</f>
        <v/>
      </c>
      <c r="L25" s="47"/>
    </row>
    <row r="26" customFormat="false" ht="15" hidden="false" customHeight="false" outlineLevel="0" collapsed="false">
      <c r="A26" s="59" t="n">
        <v>19</v>
      </c>
      <c r="B26" s="46"/>
      <c r="C26" s="11"/>
      <c r="D26" s="11"/>
      <c r="E26" s="62"/>
      <c r="F26" s="61" t="str">
        <f aca="false">IF(OR(E26="",E25=""),"",E26-E25)</f>
        <v/>
      </c>
      <c r="G26" s="62"/>
      <c r="H26" s="11"/>
      <c r="I26" s="62"/>
      <c r="J26" s="11"/>
      <c r="K26" s="9" t="str">
        <f aca="false">IF(OR(F26="",F26="-",$L$5=""),"",IF(F26&gt;$L$5,"초과",IF(AND($F$5&lt;&gt;"",E26&gt;$F$5+1),"오버슈트","OK")))</f>
        <v/>
      </c>
      <c r="L26" s="47"/>
    </row>
    <row r="27" customFormat="false" ht="15" hidden="false" customHeight="false" outlineLevel="0" collapsed="false">
      <c r="A27" s="59" t="n">
        <v>20</v>
      </c>
      <c r="B27" s="46"/>
      <c r="C27" s="11"/>
      <c r="D27" s="11"/>
      <c r="E27" s="62"/>
      <c r="F27" s="61" t="str">
        <f aca="false">IF(OR(E27="",E26=""),"",E27-E26)</f>
        <v/>
      </c>
      <c r="G27" s="62"/>
      <c r="H27" s="11"/>
      <c r="I27" s="62"/>
      <c r="J27" s="11"/>
      <c r="K27" s="9" t="str">
        <f aca="false">IF(OR(F27="",F27="-",$L$5=""),"",IF(F27&gt;$L$5,"초과",IF(AND($F$5&lt;&gt;"",E27&gt;$F$5+1),"오버슈트","OK")))</f>
        <v/>
      </c>
      <c r="L27" s="47"/>
    </row>
    <row r="28" customFormat="false" ht="15" hidden="false" customHeight="false" outlineLevel="0" collapsed="false">
      <c r="A28" s="59" t="n">
        <v>21</v>
      </c>
      <c r="B28" s="46"/>
      <c r="C28" s="11"/>
      <c r="D28" s="11"/>
      <c r="E28" s="62"/>
      <c r="F28" s="61" t="str">
        <f aca="false">IF(OR(E28="",E27=""),"",E28-E27)</f>
        <v/>
      </c>
      <c r="G28" s="62"/>
      <c r="H28" s="11"/>
      <c r="I28" s="62"/>
      <c r="J28" s="11"/>
      <c r="K28" s="9" t="str">
        <f aca="false">IF(OR(F28="",F28="-",$L$5=""),"",IF(F28&gt;$L$5,"초과",IF(AND($F$5&lt;&gt;"",E28&gt;$F$5+1),"오버슈트","OK")))</f>
        <v/>
      </c>
      <c r="L28" s="47"/>
    </row>
    <row r="29" customFormat="false" ht="15" hidden="false" customHeight="false" outlineLevel="0" collapsed="false">
      <c r="A29" s="59" t="n">
        <v>22</v>
      </c>
      <c r="B29" s="46"/>
      <c r="C29" s="11"/>
      <c r="D29" s="11"/>
      <c r="E29" s="62"/>
      <c r="F29" s="61" t="str">
        <f aca="false">IF(OR(E29="",E28=""),"",E29-E28)</f>
        <v/>
      </c>
      <c r="G29" s="62"/>
      <c r="H29" s="11"/>
      <c r="I29" s="62"/>
      <c r="J29" s="11"/>
      <c r="K29" s="9" t="str">
        <f aca="false">IF(OR(F29="",F29="-",$L$5=""),"",IF(F29&gt;$L$5,"초과",IF(AND($F$5&lt;&gt;"",E29&gt;$F$5+1),"오버슈트","OK")))</f>
        <v/>
      </c>
      <c r="L29" s="47"/>
    </row>
    <row r="30" customFormat="false" ht="15" hidden="false" customHeight="false" outlineLevel="0" collapsed="false">
      <c r="A30" s="59" t="n">
        <v>23</v>
      </c>
      <c r="B30" s="46"/>
      <c r="C30" s="11"/>
      <c r="D30" s="11"/>
      <c r="E30" s="62"/>
      <c r="F30" s="61" t="str">
        <f aca="false">IF(OR(E30="",E29=""),"",E30-E29)</f>
        <v/>
      </c>
      <c r="G30" s="62"/>
      <c r="H30" s="11"/>
      <c r="I30" s="62"/>
      <c r="J30" s="11"/>
      <c r="K30" s="9" t="str">
        <f aca="false">IF(OR(F30="",F30="-",$L$5=""),"",IF(F30&gt;$L$5,"초과",IF(AND($F$5&lt;&gt;"",E30&gt;$F$5+1),"오버슈트","OK")))</f>
        <v/>
      </c>
      <c r="L30" s="47"/>
    </row>
    <row r="31" customFormat="false" ht="15" hidden="false" customHeight="false" outlineLevel="0" collapsed="false">
      <c r="A31" s="59" t="n">
        <v>24</v>
      </c>
      <c r="B31" s="46"/>
      <c r="C31" s="11"/>
      <c r="D31" s="11"/>
      <c r="E31" s="62"/>
      <c r="F31" s="61" t="str">
        <f aca="false">IF(OR(E31="",E30=""),"",E31-E30)</f>
        <v/>
      </c>
      <c r="G31" s="62"/>
      <c r="H31" s="11"/>
      <c r="I31" s="62"/>
      <c r="J31" s="11"/>
      <c r="K31" s="9" t="str">
        <f aca="false">IF(OR(F31="",F31="-",$L$5=""),"",IF(F31&gt;$L$5,"초과",IF(AND($F$5&lt;&gt;"",E31&gt;$F$5+1),"오버슈트","OK")))</f>
        <v/>
      </c>
      <c r="L31" s="47"/>
    </row>
    <row r="32" customFormat="false" ht="15" hidden="false" customHeight="false" outlineLevel="0" collapsed="false">
      <c r="A32" s="59" t="n">
        <v>25</v>
      </c>
      <c r="B32" s="46"/>
      <c r="C32" s="11"/>
      <c r="D32" s="11"/>
      <c r="E32" s="62"/>
      <c r="F32" s="61" t="str">
        <f aca="false">IF(OR(E32="",E31=""),"",E32-E31)</f>
        <v/>
      </c>
      <c r="G32" s="62"/>
      <c r="H32" s="11"/>
      <c r="I32" s="62"/>
      <c r="J32" s="11"/>
      <c r="K32" s="9" t="str">
        <f aca="false">IF(OR(F32="",F32="-",$L$5=""),"",IF(F32&gt;$L$5,"초과",IF(AND($F$5&lt;&gt;"",E32&gt;$F$5+1),"오버슈트","OK")))</f>
        <v/>
      </c>
      <c r="L32" s="47"/>
    </row>
    <row r="33" customFormat="false" ht="15" hidden="false" customHeight="false" outlineLevel="0" collapsed="false">
      <c r="A33" s="59" t="n">
        <v>26</v>
      </c>
      <c r="B33" s="46"/>
      <c r="C33" s="11"/>
      <c r="D33" s="11"/>
      <c r="E33" s="62"/>
      <c r="F33" s="61" t="str">
        <f aca="false">IF(OR(E33="",E32=""),"",E33-E32)</f>
        <v/>
      </c>
      <c r="G33" s="62"/>
      <c r="H33" s="11"/>
      <c r="I33" s="62"/>
      <c r="J33" s="11"/>
      <c r="K33" s="9" t="str">
        <f aca="false">IF(OR(F33="",F33="-",$L$5=""),"",IF(F33&gt;$L$5,"초과",IF(AND($F$5&lt;&gt;"",E33&gt;$F$5+1),"오버슈트","OK")))</f>
        <v/>
      </c>
      <c r="L33" s="47"/>
    </row>
    <row r="34" customFormat="false" ht="15" hidden="false" customHeight="false" outlineLevel="0" collapsed="false">
      <c r="A34" s="59" t="n">
        <v>27</v>
      </c>
      <c r="B34" s="46"/>
      <c r="C34" s="11"/>
      <c r="D34" s="11"/>
      <c r="E34" s="62"/>
      <c r="F34" s="61" t="str">
        <f aca="false">IF(OR(E34="",E33=""),"",E34-E33)</f>
        <v/>
      </c>
      <c r="G34" s="62"/>
      <c r="H34" s="11"/>
      <c r="I34" s="62"/>
      <c r="J34" s="11"/>
      <c r="K34" s="9" t="str">
        <f aca="false">IF(OR(F34="",F34="-",$L$5=""),"",IF(F34&gt;$L$5,"초과",IF(AND($F$5&lt;&gt;"",E34&gt;$F$5+1),"오버슈트","OK")))</f>
        <v/>
      </c>
      <c r="L34" s="47"/>
    </row>
    <row r="35" customFormat="false" ht="15" hidden="false" customHeight="false" outlineLevel="0" collapsed="false">
      <c r="A35" s="59" t="n">
        <v>28</v>
      </c>
      <c r="B35" s="46"/>
      <c r="C35" s="11"/>
      <c r="D35" s="11"/>
      <c r="E35" s="62"/>
      <c r="F35" s="61" t="str">
        <f aca="false">IF(OR(E35="",E34=""),"",E35-E34)</f>
        <v/>
      </c>
      <c r="G35" s="62"/>
      <c r="H35" s="11"/>
      <c r="I35" s="62"/>
      <c r="J35" s="11"/>
      <c r="K35" s="9" t="str">
        <f aca="false">IF(OR(F35="",F35="-",$L$5=""),"",IF(F35&gt;$L$5,"초과",IF(AND($F$5&lt;&gt;"",E35&gt;$F$5+1),"오버슈트","OK")))</f>
        <v/>
      </c>
      <c r="L35" s="47"/>
    </row>
    <row r="36" customFormat="false" ht="15" hidden="false" customHeight="false" outlineLevel="0" collapsed="false">
      <c r="A36" s="59" t="n">
        <v>29</v>
      </c>
      <c r="B36" s="46"/>
      <c r="C36" s="11"/>
      <c r="D36" s="11"/>
      <c r="E36" s="62"/>
      <c r="F36" s="61" t="str">
        <f aca="false">IF(OR(E36="",E35=""),"",E36-E35)</f>
        <v/>
      </c>
      <c r="G36" s="62"/>
      <c r="H36" s="11"/>
      <c r="I36" s="62"/>
      <c r="J36" s="11"/>
      <c r="K36" s="9" t="str">
        <f aca="false">IF(OR(F36="",F36="-",$L$5=""),"",IF(F36&gt;$L$5,"초과",IF(AND($F$5&lt;&gt;"",E36&gt;$F$5+1),"오버슈트","OK")))</f>
        <v/>
      </c>
      <c r="L36" s="47"/>
    </row>
    <row r="37" customFormat="false" ht="15" hidden="false" customHeight="false" outlineLevel="0" collapsed="false">
      <c r="A37" s="59" t="n">
        <v>30</v>
      </c>
      <c r="B37" s="46"/>
      <c r="C37" s="11"/>
      <c r="D37" s="11"/>
      <c r="E37" s="62"/>
      <c r="F37" s="61" t="str">
        <f aca="false">IF(OR(E37="",E36=""),"",E37-E36)</f>
        <v/>
      </c>
      <c r="G37" s="62"/>
      <c r="H37" s="11"/>
      <c r="I37" s="62"/>
      <c r="J37" s="11"/>
      <c r="K37" s="9" t="str">
        <f aca="false">IF(OR(F37="",F37="-",$L$5=""),"",IF(F37&gt;$L$5,"초과",IF(AND($F$5&lt;&gt;"",E37&gt;$F$5+1),"오버슈트","OK")))</f>
        <v/>
      </c>
      <c r="L37" s="47"/>
    </row>
    <row r="38" customFormat="false" ht="30" hidden="false" customHeight="true" outlineLevel="0" collapsed="false">
      <c r="A38" s="63" t="s">
        <v>278</v>
      </c>
      <c r="B38" s="64" t="n">
        <f aca="false">IF(COUNT(F8:F37)=0,"",MAX(F8:F37))</f>
        <v>0.5</v>
      </c>
      <c r="C38" s="63" t="s">
        <v>279</v>
      </c>
      <c r="D38" s="65" t="n">
        <f aca="false">IF(COUNT(E7:E37)=0,"",MAX(E7:E37))</f>
        <v>20.3</v>
      </c>
      <c r="E38" s="63" t="s">
        <v>280</v>
      </c>
      <c r="F38" s="65" t="n">
        <f aca="false">IF(OR(F5="",COUNT(E7:E37)=0),"",MAX(E7:E37)-F5)</f>
        <v>0.300000000000001</v>
      </c>
      <c r="G38" s="63" t="s">
        <v>281</v>
      </c>
      <c r="H38" s="65" t="n">
        <f aca="false">IF(COUNT(G7:G37)=0,"",MAX(G7:G37)-MIN(G7:G37))</f>
        <v>0.199999999999999</v>
      </c>
      <c r="I38" s="63" t="s">
        <v>282</v>
      </c>
      <c r="J38" s="66" t="n">
        <f aca="false">COUNTIF(K7:K37,"초과")</f>
        <v>0</v>
      </c>
      <c r="K38" s="63" t="s">
        <v>283</v>
      </c>
      <c r="L38" s="65" t="n">
        <f aca="false">IF(COUNT(H7:H37)=0,"",MAX(H7:H37)-MIN(H7:H37))</f>
        <v>0</v>
      </c>
    </row>
    <row r="40" customFormat="false" ht="15" hidden="false" customHeight="true" outlineLevel="0" collapsed="false">
      <c r="A40" s="57" t="s">
        <v>284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</row>
    <row r="41" customFormat="false" ht="25.35" hidden="false" customHeight="false" outlineLevel="0" collapsed="false">
      <c r="A41" s="27" t="s">
        <v>262</v>
      </c>
      <c r="B41" s="5"/>
      <c r="C41" s="27" t="s">
        <v>17</v>
      </c>
      <c r="D41" s="5"/>
      <c r="E41" s="58" t="s">
        <v>264</v>
      </c>
      <c r="F41" s="5"/>
      <c r="G41" s="58" t="s">
        <v>265</v>
      </c>
      <c r="H41" s="5"/>
      <c r="I41" s="58" t="s">
        <v>266</v>
      </c>
      <c r="J41" s="5"/>
      <c r="K41" s="58" t="s">
        <v>267</v>
      </c>
      <c r="L41" s="5"/>
    </row>
    <row r="42" customFormat="false" ht="36" hidden="false" customHeight="true" outlineLevel="0" collapsed="false">
      <c r="A42" s="15" t="s">
        <v>268</v>
      </c>
      <c r="B42" s="15" t="s">
        <v>144</v>
      </c>
      <c r="C42" s="14" t="s">
        <v>269</v>
      </c>
      <c r="D42" s="14" t="s">
        <v>270</v>
      </c>
      <c r="E42" s="15" t="s">
        <v>271</v>
      </c>
      <c r="F42" s="15" t="s">
        <v>272</v>
      </c>
      <c r="G42" s="15" t="s">
        <v>273</v>
      </c>
      <c r="H42" s="15" t="s">
        <v>274</v>
      </c>
      <c r="I42" s="15" t="s">
        <v>275</v>
      </c>
      <c r="J42" s="15" t="s">
        <v>276</v>
      </c>
      <c r="K42" s="15" t="s">
        <v>213</v>
      </c>
      <c r="L42" s="15" t="s">
        <v>277</v>
      </c>
    </row>
    <row r="43" customFormat="false" ht="15" hidden="false" customHeight="false" outlineLevel="0" collapsed="false">
      <c r="A43" s="59" t="n">
        <v>0</v>
      </c>
      <c r="B43" s="48"/>
      <c r="C43" s="5"/>
      <c r="D43" s="5"/>
      <c r="E43" s="38"/>
      <c r="F43" s="9" t="s">
        <v>89</v>
      </c>
      <c r="G43" s="38"/>
      <c r="H43" s="5"/>
      <c r="I43" s="38"/>
      <c r="J43" s="5"/>
      <c r="K43" s="9" t="str">
        <f aca="false">IF(OR(F43="",F43="-",$L$41=""),"",IF(F43&gt;$L$41,"초과",IF(AND($F$41&lt;&gt;"",E43&gt;$F$41+1),"오버슈트","OK")))</f>
        <v/>
      </c>
      <c r="L43" s="39"/>
    </row>
    <row r="44" customFormat="false" ht="15" hidden="false" customHeight="false" outlineLevel="0" collapsed="false">
      <c r="A44" s="59" t="n">
        <v>1</v>
      </c>
      <c r="B44" s="48"/>
      <c r="C44" s="5"/>
      <c r="D44" s="5"/>
      <c r="E44" s="38"/>
      <c r="F44" s="61" t="str">
        <f aca="false">IF(OR(E44="",E43=""),"",E44-E43)</f>
        <v/>
      </c>
      <c r="G44" s="38"/>
      <c r="H44" s="5"/>
      <c r="I44" s="38"/>
      <c r="J44" s="5"/>
      <c r="K44" s="9" t="str">
        <f aca="false">IF(OR(F44="",F44="-",$L$41=""),"",IF(F44&gt;$L$41,"초과",IF(AND($F$41&lt;&gt;"",E44&gt;$F$41+1),"오버슈트","OK")))</f>
        <v/>
      </c>
      <c r="L44" s="39"/>
    </row>
    <row r="45" customFormat="false" ht="15" hidden="false" customHeight="false" outlineLevel="0" collapsed="false">
      <c r="A45" s="59" t="n">
        <v>2</v>
      </c>
      <c r="B45" s="48"/>
      <c r="C45" s="5"/>
      <c r="D45" s="5"/>
      <c r="E45" s="38"/>
      <c r="F45" s="61" t="str">
        <f aca="false">IF(OR(E45="",E44=""),"",E45-E44)</f>
        <v/>
      </c>
      <c r="G45" s="38"/>
      <c r="H45" s="5"/>
      <c r="I45" s="38"/>
      <c r="J45" s="5"/>
      <c r="K45" s="9" t="str">
        <f aca="false">IF(OR(F45="",F45="-",$L$41=""),"",IF(F45&gt;$L$41,"초과",IF(AND($F$41&lt;&gt;"",E45&gt;$F$41+1),"오버슈트","OK")))</f>
        <v/>
      </c>
      <c r="L45" s="39"/>
    </row>
    <row r="46" customFormat="false" ht="15" hidden="false" customHeight="false" outlineLevel="0" collapsed="false">
      <c r="A46" s="59" t="n">
        <v>3</v>
      </c>
      <c r="B46" s="48"/>
      <c r="C46" s="5"/>
      <c r="D46" s="5"/>
      <c r="E46" s="38"/>
      <c r="F46" s="61" t="str">
        <f aca="false">IF(OR(E46="",E45=""),"",E46-E45)</f>
        <v/>
      </c>
      <c r="G46" s="38"/>
      <c r="H46" s="5"/>
      <c r="I46" s="38"/>
      <c r="J46" s="5"/>
      <c r="K46" s="9" t="str">
        <f aca="false">IF(OR(F46="",F46="-",$L$41=""),"",IF(F46&gt;$L$41,"초과",IF(AND($F$41&lt;&gt;"",E46&gt;$F$41+1),"오버슈트","OK")))</f>
        <v/>
      </c>
      <c r="L46" s="39"/>
    </row>
    <row r="47" customFormat="false" ht="15" hidden="false" customHeight="false" outlineLevel="0" collapsed="false">
      <c r="A47" s="59" t="n">
        <v>4</v>
      </c>
      <c r="B47" s="48"/>
      <c r="C47" s="5"/>
      <c r="D47" s="5"/>
      <c r="E47" s="38"/>
      <c r="F47" s="61" t="str">
        <f aca="false">IF(OR(E47="",E46=""),"",E47-E46)</f>
        <v/>
      </c>
      <c r="G47" s="38"/>
      <c r="H47" s="5"/>
      <c r="I47" s="38"/>
      <c r="J47" s="5"/>
      <c r="K47" s="9" t="str">
        <f aca="false">IF(OR(F47="",F47="-",$L$41=""),"",IF(F47&gt;$L$41,"초과",IF(AND($F$41&lt;&gt;"",E47&gt;$F$41+1),"오버슈트","OK")))</f>
        <v/>
      </c>
      <c r="L47" s="39"/>
    </row>
    <row r="48" customFormat="false" ht="15" hidden="false" customHeight="false" outlineLevel="0" collapsed="false">
      <c r="A48" s="59" t="n">
        <v>5</v>
      </c>
      <c r="B48" s="48"/>
      <c r="C48" s="5"/>
      <c r="D48" s="5"/>
      <c r="E48" s="38"/>
      <c r="F48" s="61" t="str">
        <f aca="false">IF(OR(E48="",E47=""),"",E48-E47)</f>
        <v/>
      </c>
      <c r="G48" s="38"/>
      <c r="H48" s="5"/>
      <c r="I48" s="38"/>
      <c r="J48" s="5"/>
      <c r="K48" s="9" t="str">
        <f aca="false">IF(OR(F48="",F48="-",$L$41=""),"",IF(F48&gt;$L$41,"초과",IF(AND($F$41&lt;&gt;"",E48&gt;$F$41+1),"오버슈트","OK")))</f>
        <v/>
      </c>
      <c r="L48" s="39"/>
    </row>
    <row r="49" customFormat="false" ht="15" hidden="false" customHeight="false" outlineLevel="0" collapsed="false">
      <c r="A49" s="59" t="n">
        <v>6</v>
      </c>
      <c r="B49" s="48"/>
      <c r="C49" s="5"/>
      <c r="D49" s="5"/>
      <c r="E49" s="38"/>
      <c r="F49" s="61" t="str">
        <f aca="false">IF(OR(E49="",E48=""),"",E49-E48)</f>
        <v/>
      </c>
      <c r="G49" s="38"/>
      <c r="H49" s="5"/>
      <c r="I49" s="38"/>
      <c r="J49" s="5"/>
      <c r="K49" s="9" t="str">
        <f aca="false">IF(OR(F49="",F49="-",$L$41=""),"",IF(F49&gt;$L$41,"초과",IF(AND($F$41&lt;&gt;"",E49&gt;$F$41+1),"오버슈트","OK")))</f>
        <v/>
      </c>
      <c r="L49" s="39"/>
    </row>
    <row r="50" customFormat="false" ht="15" hidden="false" customHeight="false" outlineLevel="0" collapsed="false">
      <c r="A50" s="59" t="n">
        <v>7</v>
      </c>
      <c r="B50" s="48"/>
      <c r="C50" s="5"/>
      <c r="D50" s="5"/>
      <c r="E50" s="38"/>
      <c r="F50" s="61" t="str">
        <f aca="false">IF(OR(E50="",E49=""),"",E50-E49)</f>
        <v/>
      </c>
      <c r="G50" s="38"/>
      <c r="H50" s="5"/>
      <c r="I50" s="38"/>
      <c r="J50" s="5"/>
      <c r="K50" s="9" t="str">
        <f aca="false">IF(OR(F50="",F50="-",$L$41=""),"",IF(F50&gt;$L$41,"초과",IF(AND($F$41&lt;&gt;"",E50&gt;$F$41+1),"오버슈트","OK")))</f>
        <v/>
      </c>
      <c r="L50" s="39"/>
    </row>
    <row r="51" customFormat="false" ht="15" hidden="false" customHeight="false" outlineLevel="0" collapsed="false">
      <c r="A51" s="59" t="n">
        <v>8</v>
      </c>
      <c r="B51" s="48"/>
      <c r="C51" s="5"/>
      <c r="D51" s="5"/>
      <c r="E51" s="38"/>
      <c r="F51" s="61" t="str">
        <f aca="false">IF(OR(E51="",E50=""),"",E51-E50)</f>
        <v/>
      </c>
      <c r="G51" s="38"/>
      <c r="H51" s="5"/>
      <c r="I51" s="38"/>
      <c r="J51" s="5"/>
      <c r="K51" s="9" t="str">
        <f aca="false">IF(OR(F51="",F51="-",$L$41=""),"",IF(F51&gt;$L$41,"초과",IF(AND($F$41&lt;&gt;"",E51&gt;$F$41+1),"오버슈트","OK")))</f>
        <v/>
      </c>
      <c r="L51" s="39"/>
    </row>
    <row r="52" customFormat="false" ht="15" hidden="false" customHeight="false" outlineLevel="0" collapsed="false">
      <c r="A52" s="59" t="n">
        <v>9</v>
      </c>
      <c r="B52" s="48"/>
      <c r="C52" s="5"/>
      <c r="D52" s="5"/>
      <c r="E52" s="38"/>
      <c r="F52" s="61" t="str">
        <f aca="false">IF(OR(E52="",E51=""),"",E52-E51)</f>
        <v/>
      </c>
      <c r="G52" s="38"/>
      <c r="H52" s="5"/>
      <c r="I52" s="38"/>
      <c r="J52" s="5"/>
      <c r="K52" s="9" t="str">
        <f aca="false">IF(OR(F52="",F52="-",$L$41=""),"",IF(F52&gt;$L$41,"초과",IF(AND($F$41&lt;&gt;"",E52&gt;$F$41+1),"오버슈트","OK")))</f>
        <v/>
      </c>
      <c r="L52" s="39"/>
    </row>
    <row r="53" customFormat="false" ht="15" hidden="false" customHeight="false" outlineLevel="0" collapsed="false">
      <c r="A53" s="59" t="n">
        <v>10</v>
      </c>
      <c r="B53" s="48"/>
      <c r="C53" s="5"/>
      <c r="D53" s="5"/>
      <c r="E53" s="38"/>
      <c r="F53" s="61" t="str">
        <f aca="false">IF(OR(E53="",E52=""),"",E53-E52)</f>
        <v/>
      </c>
      <c r="G53" s="38"/>
      <c r="H53" s="5"/>
      <c r="I53" s="38"/>
      <c r="J53" s="5"/>
      <c r="K53" s="9" t="str">
        <f aca="false">IF(OR(F53="",F53="-",$L$41=""),"",IF(F53&gt;$L$41,"초과",IF(AND($F$41&lt;&gt;"",E53&gt;$F$41+1),"오버슈트","OK")))</f>
        <v/>
      </c>
      <c r="L53" s="39"/>
    </row>
    <row r="54" customFormat="false" ht="15" hidden="false" customHeight="false" outlineLevel="0" collapsed="false">
      <c r="A54" s="59" t="n">
        <v>11</v>
      </c>
      <c r="B54" s="48"/>
      <c r="C54" s="5"/>
      <c r="D54" s="5"/>
      <c r="E54" s="38"/>
      <c r="F54" s="61" t="str">
        <f aca="false">IF(OR(E54="",E53=""),"",E54-E53)</f>
        <v/>
      </c>
      <c r="G54" s="38"/>
      <c r="H54" s="5"/>
      <c r="I54" s="38"/>
      <c r="J54" s="5"/>
      <c r="K54" s="9" t="str">
        <f aca="false">IF(OR(F54="",F54="-",$L$41=""),"",IF(F54&gt;$L$41,"초과",IF(AND($F$41&lt;&gt;"",E54&gt;$F$41+1),"오버슈트","OK")))</f>
        <v/>
      </c>
      <c r="L54" s="39"/>
    </row>
    <row r="55" customFormat="false" ht="15" hidden="false" customHeight="false" outlineLevel="0" collapsed="false">
      <c r="A55" s="59" t="n">
        <v>12</v>
      </c>
      <c r="B55" s="48"/>
      <c r="C55" s="5"/>
      <c r="D55" s="5"/>
      <c r="E55" s="38"/>
      <c r="F55" s="61" t="str">
        <f aca="false">IF(OR(E55="",E54=""),"",E55-E54)</f>
        <v/>
      </c>
      <c r="G55" s="38"/>
      <c r="H55" s="5"/>
      <c r="I55" s="38"/>
      <c r="J55" s="5"/>
      <c r="K55" s="9" t="str">
        <f aca="false">IF(OR(F55="",F55="-",$L$41=""),"",IF(F55&gt;$L$41,"초과",IF(AND($F$41&lt;&gt;"",E55&gt;$F$41+1),"오버슈트","OK")))</f>
        <v/>
      </c>
      <c r="L55" s="39"/>
    </row>
    <row r="56" customFormat="false" ht="15" hidden="false" customHeight="false" outlineLevel="0" collapsed="false">
      <c r="A56" s="59" t="n">
        <v>13</v>
      </c>
      <c r="B56" s="48"/>
      <c r="C56" s="5"/>
      <c r="D56" s="5"/>
      <c r="E56" s="38"/>
      <c r="F56" s="61" t="str">
        <f aca="false">IF(OR(E56="",E55=""),"",E56-E55)</f>
        <v/>
      </c>
      <c r="G56" s="38"/>
      <c r="H56" s="5"/>
      <c r="I56" s="38"/>
      <c r="J56" s="5"/>
      <c r="K56" s="9" t="str">
        <f aca="false">IF(OR(F56="",F56="-",$L$41=""),"",IF(F56&gt;$L$41,"초과",IF(AND($F$41&lt;&gt;"",E56&gt;$F$41+1),"오버슈트","OK")))</f>
        <v/>
      </c>
      <c r="L56" s="39"/>
    </row>
    <row r="57" customFormat="false" ht="15" hidden="false" customHeight="false" outlineLevel="0" collapsed="false">
      <c r="A57" s="59" t="n">
        <v>14</v>
      </c>
      <c r="B57" s="48"/>
      <c r="C57" s="5"/>
      <c r="D57" s="5"/>
      <c r="E57" s="38"/>
      <c r="F57" s="61" t="str">
        <f aca="false">IF(OR(E57="",E56=""),"",E57-E56)</f>
        <v/>
      </c>
      <c r="G57" s="38"/>
      <c r="H57" s="5"/>
      <c r="I57" s="38"/>
      <c r="J57" s="5"/>
      <c r="K57" s="9" t="str">
        <f aca="false">IF(OR(F57="",F57="-",$L$41=""),"",IF(F57&gt;$L$41,"초과",IF(AND($F$41&lt;&gt;"",E57&gt;$F$41+1),"오버슈트","OK")))</f>
        <v/>
      </c>
      <c r="L57" s="39"/>
    </row>
    <row r="58" customFormat="false" ht="15" hidden="false" customHeight="false" outlineLevel="0" collapsed="false">
      <c r="A58" s="59" t="n">
        <v>15</v>
      </c>
      <c r="B58" s="48"/>
      <c r="C58" s="5"/>
      <c r="D58" s="5"/>
      <c r="E58" s="38"/>
      <c r="F58" s="61" t="str">
        <f aca="false">IF(OR(E58="",E57=""),"",E58-E57)</f>
        <v/>
      </c>
      <c r="G58" s="38"/>
      <c r="H58" s="5"/>
      <c r="I58" s="38"/>
      <c r="J58" s="5"/>
      <c r="K58" s="9" t="str">
        <f aca="false">IF(OR(F58="",F58="-",$L$41=""),"",IF(F58&gt;$L$41,"초과",IF(AND($F$41&lt;&gt;"",E58&gt;$F$41+1),"오버슈트","OK")))</f>
        <v/>
      </c>
      <c r="L58" s="39"/>
    </row>
    <row r="59" customFormat="false" ht="15" hidden="false" customHeight="false" outlineLevel="0" collapsed="false">
      <c r="A59" s="59" t="n">
        <v>16</v>
      </c>
      <c r="B59" s="48"/>
      <c r="C59" s="5"/>
      <c r="D59" s="5"/>
      <c r="E59" s="38"/>
      <c r="F59" s="61" t="str">
        <f aca="false">IF(OR(E59="",E58=""),"",E59-E58)</f>
        <v/>
      </c>
      <c r="G59" s="38"/>
      <c r="H59" s="5"/>
      <c r="I59" s="38"/>
      <c r="J59" s="5"/>
      <c r="K59" s="9" t="str">
        <f aca="false">IF(OR(F59="",F59="-",$L$41=""),"",IF(F59&gt;$L$41,"초과",IF(AND($F$41&lt;&gt;"",E59&gt;$F$41+1),"오버슈트","OK")))</f>
        <v/>
      </c>
      <c r="L59" s="39"/>
    </row>
    <row r="60" customFormat="false" ht="15" hidden="false" customHeight="false" outlineLevel="0" collapsed="false">
      <c r="A60" s="59" t="n">
        <v>17</v>
      </c>
      <c r="B60" s="48"/>
      <c r="C60" s="5"/>
      <c r="D60" s="5"/>
      <c r="E60" s="38"/>
      <c r="F60" s="61" t="str">
        <f aca="false">IF(OR(E60="",E59=""),"",E60-E59)</f>
        <v/>
      </c>
      <c r="G60" s="38"/>
      <c r="H60" s="5"/>
      <c r="I60" s="38"/>
      <c r="J60" s="5"/>
      <c r="K60" s="9" t="str">
        <f aca="false">IF(OR(F60="",F60="-",$L$41=""),"",IF(F60&gt;$L$41,"초과",IF(AND($F$41&lt;&gt;"",E60&gt;$F$41+1),"오버슈트","OK")))</f>
        <v/>
      </c>
      <c r="L60" s="39"/>
    </row>
    <row r="61" customFormat="false" ht="15" hidden="false" customHeight="false" outlineLevel="0" collapsed="false">
      <c r="A61" s="59" t="n">
        <v>18</v>
      </c>
      <c r="B61" s="48"/>
      <c r="C61" s="5"/>
      <c r="D61" s="5"/>
      <c r="E61" s="38"/>
      <c r="F61" s="61" t="str">
        <f aca="false">IF(OR(E61="",E60=""),"",E61-E60)</f>
        <v/>
      </c>
      <c r="G61" s="38"/>
      <c r="H61" s="5"/>
      <c r="I61" s="38"/>
      <c r="J61" s="5"/>
      <c r="K61" s="9" t="str">
        <f aca="false">IF(OR(F61="",F61="-",$L$41=""),"",IF(F61&gt;$L$41,"초과",IF(AND($F$41&lt;&gt;"",E61&gt;$F$41+1),"오버슈트","OK")))</f>
        <v/>
      </c>
      <c r="L61" s="39"/>
    </row>
    <row r="62" customFormat="false" ht="15" hidden="false" customHeight="false" outlineLevel="0" collapsed="false">
      <c r="A62" s="59" t="n">
        <v>19</v>
      </c>
      <c r="B62" s="48"/>
      <c r="C62" s="5"/>
      <c r="D62" s="5"/>
      <c r="E62" s="38"/>
      <c r="F62" s="61" t="str">
        <f aca="false">IF(OR(E62="",E61=""),"",E62-E61)</f>
        <v/>
      </c>
      <c r="G62" s="38"/>
      <c r="H62" s="5"/>
      <c r="I62" s="38"/>
      <c r="J62" s="5"/>
      <c r="K62" s="9" t="str">
        <f aca="false">IF(OR(F62="",F62="-",$L$41=""),"",IF(F62&gt;$L$41,"초과",IF(AND($F$41&lt;&gt;"",E62&gt;$F$41+1),"오버슈트","OK")))</f>
        <v/>
      </c>
      <c r="L62" s="39"/>
    </row>
    <row r="63" customFormat="false" ht="15" hidden="false" customHeight="false" outlineLevel="0" collapsed="false">
      <c r="A63" s="59" t="n">
        <v>20</v>
      </c>
      <c r="B63" s="48"/>
      <c r="C63" s="5"/>
      <c r="D63" s="5"/>
      <c r="E63" s="38"/>
      <c r="F63" s="61" t="str">
        <f aca="false">IF(OR(E63="",E62=""),"",E63-E62)</f>
        <v/>
      </c>
      <c r="G63" s="38"/>
      <c r="H63" s="5"/>
      <c r="I63" s="38"/>
      <c r="J63" s="5"/>
      <c r="K63" s="9" t="str">
        <f aca="false">IF(OR(F63="",F63="-",$L$41=""),"",IF(F63&gt;$L$41,"초과",IF(AND($F$41&lt;&gt;"",E63&gt;$F$41+1),"오버슈트","OK")))</f>
        <v/>
      </c>
      <c r="L63" s="39"/>
    </row>
    <row r="64" customFormat="false" ht="15" hidden="false" customHeight="false" outlineLevel="0" collapsed="false">
      <c r="A64" s="59" t="n">
        <v>21</v>
      </c>
      <c r="B64" s="48"/>
      <c r="C64" s="5"/>
      <c r="D64" s="5"/>
      <c r="E64" s="38"/>
      <c r="F64" s="61" t="str">
        <f aca="false">IF(OR(E64="",E63=""),"",E64-E63)</f>
        <v/>
      </c>
      <c r="G64" s="38"/>
      <c r="H64" s="5"/>
      <c r="I64" s="38"/>
      <c r="J64" s="5"/>
      <c r="K64" s="9" t="str">
        <f aca="false">IF(OR(F64="",F64="-",$L$41=""),"",IF(F64&gt;$L$41,"초과",IF(AND($F$41&lt;&gt;"",E64&gt;$F$41+1),"오버슈트","OK")))</f>
        <v/>
      </c>
      <c r="L64" s="39"/>
    </row>
    <row r="65" customFormat="false" ht="15" hidden="false" customHeight="false" outlineLevel="0" collapsed="false">
      <c r="A65" s="59" t="n">
        <v>22</v>
      </c>
      <c r="B65" s="48"/>
      <c r="C65" s="5"/>
      <c r="D65" s="5"/>
      <c r="E65" s="38"/>
      <c r="F65" s="61" t="str">
        <f aca="false">IF(OR(E65="",E64=""),"",E65-E64)</f>
        <v/>
      </c>
      <c r="G65" s="38"/>
      <c r="H65" s="5"/>
      <c r="I65" s="38"/>
      <c r="J65" s="5"/>
      <c r="K65" s="9" t="str">
        <f aca="false">IF(OR(F65="",F65="-",$L$41=""),"",IF(F65&gt;$L$41,"초과",IF(AND($F$41&lt;&gt;"",E65&gt;$F$41+1),"오버슈트","OK")))</f>
        <v/>
      </c>
      <c r="L65" s="39"/>
    </row>
    <row r="66" customFormat="false" ht="15" hidden="false" customHeight="false" outlineLevel="0" collapsed="false">
      <c r="A66" s="59" t="n">
        <v>23</v>
      </c>
      <c r="B66" s="48"/>
      <c r="C66" s="5"/>
      <c r="D66" s="5"/>
      <c r="E66" s="38"/>
      <c r="F66" s="61" t="str">
        <f aca="false">IF(OR(E66="",E65=""),"",E66-E65)</f>
        <v/>
      </c>
      <c r="G66" s="38"/>
      <c r="H66" s="5"/>
      <c r="I66" s="38"/>
      <c r="J66" s="5"/>
      <c r="K66" s="9" t="str">
        <f aca="false">IF(OR(F66="",F66="-",$L$41=""),"",IF(F66&gt;$L$41,"초과",IF(AND($F$41&lt;&gt;"",E66&gt;$F$41+1),"오버슈트","OK")))</f>
        <v/>
      </c>
      <c r="L66" s="39"/>
    </row>
    <row r="67" customFormat="false" ht="15" hidden="false" customHeight="false" outlineLevel="0" collapsed="false">
      <c r="A67" s="59" t="n">
        <v>24</v>
      </c>
      <c r="B67" s="48"/>
      <c r="C67" s="5"/>
      <c r="D67" s="5"/>
      <c r="E67" s="38"/>
      <c r="F67" s="61" t="str">
        <f aca="false">IF(OR(E67="",E66=""),"",E67-E66)</f>
        <v/>
      </c>
      <c r="G67" s="38"/>
      <c r="H67" s="5"/>
      <c r="I67" s="38"/>
      <c r="J67" s="5"/>
      <c r="K67" s="9" t="str">
        <f aca="false">IF(OR(F67="",F67="-",$L$41=""),"",IF(F67&gt;$L$41,"초과",IF(AND($F$41&lt;&gt;"",E67&gt;$F$41+1),"오버슈트","OK")))</f>
        <v/>
      </c>
      <c r="L67" s="39"/>
    </row>
    <row r="68" customFormat="false" ht="15" hidden="false" customHeight="false" outlineLevel="0" collapsed="false">
      <c r="A68" s="59" t="n">
        <v>25</v>
      </c>
      <c r="B68" s="48"/>
      <c r="C68" s="5"/>
      <c r="D68" s="5"/>
      <c r="E68" s="38"/>
      <c r="F68" s="61" t="str">
        <f aca="false">IF(OR(E68="",E67=""),"",E68-E67)</f>
        <v/>
      </c>
      <c r="G68" s="38"/>
      <c r="H68" s="5"/>
      <c r="I68" s="38"/>
      <c r="J68" s="5"/>
      <c r="K68" s="9" t="str">
        <f aca="false">IF(OR(F68="",F68="-",$L$41=""),"",IF(F68&gt;$L$41,"초과",IF(AND($F$41&lt;&gt;"",E68&gt;$F$41+1),"오버슈트","OK")))</f>
        <v/>
      </c>
      <c r="L68" s="39"/>
    </row>
    <row r="69" customFormat="false" ht="15" hidden="false" customHeight="false" outlineLevel="0" collapsed="false">
      <c r="A69" s="59" t="n">
        <v>26</v>
      </c>
      <c r="B69" s="48"/>
      <c r="C69" s="5"/>
      <c r="D69" s="5"/>
      <c r="E69" s="38"/>
      <c r="F69" s="61" t="str">
        <f aca="false">IF(OR(E69="",E68=""),"",E69-E68)</f>
        <v/>
      </c>
      <c r="G69" s="38"/>
      <c r="H69" s="5"/>
      <c r="I69" s="38"/>
      <c r="J69" s="5"/>
      <c r="K69" s="9" t="str">
        <f aca="false">IF(OR(F69="",F69="-",$L$41=""),"",IF(F69&gt;$L$41,"초과",IF(AND($F$41&lt;&gt;"",E69&gt;$F$41+1),"오버슈트","OK")))</f>
        <v/>
      </c>
      <c r="L69" s="39"/>
    </row>
    <row r="70" customFormat="false" ht="15" hidden="false" customHeight="false" outlineLevel="0" collapsed="false">
      <c r="A70" s="59" t="n">
        <v>27</v>
      </c>
      <c r="B70" s="48"/>
      <c r="C70" s="5"/>
      <c r="D70" s="5"/>
      <c r="E70" s="38"/>
      <c r="F70" s="61" t="str">
        <f aca="false">IF(OR(E70="",E69=""),"",E70-E69)</f>
        <v/>
      </c>
      <c r="G70" s="38"/>
      <c r="H70" s="5"/>
      <c r="I70" s="38"/>
      <c r="J70" s="5"/>
      <c r="K70" s="9" t="str">
        <f aca="false">IF(OR(F70="",F70="-",$L$41=""),"",IF(F70&gt;$L$41,"초과",IF(AND($F$41&lt;&gt;"",E70&gt;$F$41+1),"오버슈트","OK")))</f>
        <v/>
      </c>
      <c r="L70" s="39"/>
    </row>
    <row r="71" customFormat="false" ht="15" hidden="false" customHeight="false" outlineLevel="0" collapsed="false">
      <c r="A71" s="59" t="n">
        <v>28</v>
      </c>
      <c r="B71" s="48"/>
      <c r="C71" s="5"/>
      <c r="D71" s="5"/>
      <c r="E71" s="38"/>
      <c r="F71" s="61" t="str">
        <f aca="false">IF(OR(E71="",E70=""),"",E71-E70)</f>
        <v/>
      </c>
      <c r="G71" s="38"/>
      <c r="H71" s="5"/>
      <c r="I71" s="38"/>
      <c r="J71" s="5"/>
      <c r="K71" s="9" t="str">
        <f aca="false">IF(OR(F71="",F71="-",$L$41=""),"",IF(F71&gt;$L$41,"초과",IF(AND($F$41&lt;&gt;"",E71&gt;$F$41+1),"오버슈트","OK")))</f>
        <v/>
      </c>
      <c r="L71" s="39"/>
    </row>
    <row r="72" customFormat="false" ht="15" hidden="false" customHeight="false" outlineLevel="0" collapsed="false">
      <c r="A72" s="59" t="n">
        <v>29</v>
      </c>
      <c r="B72" s="48"/>
      <c r="C72" s="5"/>
      <c r="D72" s="5"/>
      <c r="E72" s="38"/>
      <c r="F72" s="61" t="str">
        <f aca="false">IF(OR(E72="",E71=""),"",E72-E71)</f>
        <v/>
      </c>
      <c r="G72" s="38"/>
      <c r="H72" s="5"/>
      <c r="I72" s="38"/>
      <c r="J72" s="5"/>
      <c r="K72" s="9" t="str">
        <f aca="false">IF(OR(F72="",F72="-",$L$41=""),"",IF(F72&gt;$L$41,"초과",IF(AND($F$41&lt;&gt;"",E72&gt;$F$41+1),"오버슈트","OK")))</f>
        <v/>
      </c>
      <c r="L72" s="39"/>
    </row>
    <row r="73" customFormat="false" ht="15" hidden="false" customHeight="false" outlineLevel="0" collapsed="false">
      <c r="A73" s="59" t="n">
        <v>30</v>
      </c>
      <c r="B73" s="48"/>
      <c r="C73" s="5"/>
      <c r="D73" s="5"/>
      <c r="E73" s="38"/>
      <c r="F73" s="61" t="str">
        <f aca="false">IF(OR(E73="",E72=""),"",E73-E72)</f>
        <v/>
      </c>
      <c r="G73" s="38"/>
      <c r="H73" s="5"/>
      <c r="I73" s="38"/>
      <c r="J73" s="5"/>
      <c r="K73" s="9" t="str">
        <f aca="false">IF(OR(F73="",F73="-",$L$41=""),"",IF(F73&gt;$L$41,"초과",IF(AND($F$41&lt;&gt;"",E73&gt;$F$41+1),"오버슈트","OK")))</f>
        <v/>
      </c>
      <c r="L73" s="39"/>
    </row>
    <row r="74" customFormat="false" ht="30" hidden="false" customHeight="true" outlineLevel="0" collapsed="false">
      <c r="A74" s="63" t="s">
        <v>278</v>
      </c>
      <c r="B74" s="64" t="str">
        <f aca="false">IF(COUNT(F44:F73)=0,"",MAX(F44:F73))</f>
        <v/>
      </c>
      <c r="C74" s="63" t="s">
        <v>279</v>
      </c>
      <c r="D74" s="65" t="str">
        <f aca="false">IF(COUNT(E43:E73)=0,"",MAX(E43:E73))</f>
        <v/>
      </c>
      <c r="E74" s="63" t="s">
        <v>280</v>
      </c>
      <c r="F74" s="65" t="str">
        <f aca="false">IF(OR(F41="",COUNT(E43:E73)=0),"",MAX(E43:E73)-F41)</f>
        <v/>
      </c>
      <c r="G74" s="63" t="s">
        <v>281</v>
      </c>
      <c r="H74" s="65" t="str">
        <f aca="false">IF(COUNT(G43:G73)=0,"",MAX(G43:G73)-MIN(G43:G73))</f>
        <v/>
      </c>
      <c r="I74" s="63" t="s">
        <v>282</v>
      </c>
      <c r="J74" s="66" t="n">
        <f aca="false">COUNTIF(K43:K73,"초과")</f>
        <v>0</v>
      </c>
      <c r="K74" s="63" t="s">
        <v>283</v>
      </c>
      <c r="L74" s="65" t="str">
        <f aca="false">IF(COUNT(H43:H73)=0,"",MAX(H43:H73)-MIN(H43:H73))</f>
        <v/>
      </c>
    </row>
    <row r="76" customFormat="false" ht="15" hidden="false" customHeight="true" outlineLevel="0" collapsed="false">
      <c r="A76" s="57" t="s">
        <v>285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</row>
    <row r="77" customFormat="false" ht="25.35" hidden="false" customHeight="false" outlineLevel="0" collapsed="false">
      <c r="A77" s="27" t="s">
        <v>262</v>
      </c>
      <c r="B77" s="5"/>
      <c r="C77" s="27" t="s">
        <v>17</v>
      </c>
      <c r="D77" s="5"/>
      <c r="E77" s="58" t="s">
        <v>264</v>
      </c>
      <c r="F77" s="5"/>
      <c r="G77" s="58" t="s">
        <v>265</v>
      </c>
      <c r="H77" s="5"/>
      <c r="I77" s="58" t="s">
        <v>266</v>
      </c>
      <c r="J77" s="5"/>
      <c r="K77" s="58" t="s">
        <v>267</v>
      </c>
      <c r="L77" s="5"/>
    </row>
    <row r="78" customFormat="false" ht="36" hidden="false" customHeight="true" outlineLevel="0" collapsed="false">
      <c r="A78" s="15" t="s">
        <v>268</v>
      </c>
      <c r="B78" s="15" t="s">
        <v>144</v>
      </c>
      <c r="C78" s="14" t="s">
        <v>269</v>
      </c>
      <c r="D78" s="14" t="s">
        <v>270</v>
      </c>
      <c r="E78" s="15" t="s">
        <v>271</v>
      </c>
      <c r="F78" s="15" t="s">
        <v>272</v>
      </c>
      <c r="G78" s="15" t="s">
        <v>273</v>
      </c>
      <c r="H78" s="15" t="s">
        <v>274</v>
      </c>
      <c r="I78" s="15" t="s">
        <v>275</v>
      </c>
      <c r="J78" s="15" t="s">
        <v>276</v>
      </c>
      <c r="K78" s="15" t="s">
        <v>213</v>
      </c>
      <c r="L78" s="15" t="s">
        <v>277</v>
      </c>
    </row>
    <row r="79" customFormat="false" ht="15" hidden="false" customHeight="false" outlineLevel="0" collapsed="false">
      <c r="A79" s="59" t="n">
        <v>0</v>
      </c>
      <c r="B79" s="48"/>
      <c r="C79" s="5"/>
      <c r="D79" s="5"/>
      <c r="E79" s="38"/>
      <c r="F79" s="9" t="s">
        <v>89</v>
      </c>
      <c r="G79" s="38"/>
      <c r="H79" s="5"/>
      <c r="I79" s="38"/>
      <c r="J79" s="5"/>
      <c r="K79" s="9" t="str">
        <f aca="false">IF(OR(F79="",F79="-",$L$77=""),"",IF(F79&gt;$L$77,"초과",IF(AND($F$77&lt;&gt;"",E79&gt;$F$77+1),"오버슈트","OK")))</f>
        <v/>
      </c>
      <c r="L79" s="39"/>
    </row>
    <row r="80" customFormat="false" ht="15" hidden="false" customHeight="false" outlineLevel="0" collapsed="false">
      <c r="A80" s="59" t="n">
        <v>1</v>
      </c>
      <c r="B80" s="48"/>
      <c r="C80" s="5"/>
      <c r="D80" s="5"/>
      <c r="E80" s="38"/>
      <c r="F80" s="61" t="str">
        <f aca="false">IF(OR(E80="",E79=""),"",E80-E79)</f>
        <v/>
      </c>
      <c r="G80" s="38"/>
      <c r="H80" s="5"/>
      <c r="I80" s="38"/>
      <c r="J80" s="5"/>
      <c r="K80" s="9" t="str">
        <f aca="false">IF(OR(F80="",F80="-",$L$77=""),"",IF(F80&gt;$L$77,"초과",IF(AND($F$77&lt;&gt;"",E80&gt;$F$77+1),"오버슈트","OK")))</f>
        <v/>
      </c>
      <c r="L80" s="39"/>
    </row>
    <row r="81" customFormat="false" ht="15" hidden="false" customHeight="false" outlineLevel="0" collapsed="false">
      <c r="A81" s="59" t="n">
        <v>2</v>
      </c>
      <c r="B81" s="48"/>
      <c r="C81" s="5"/>
      <c r="D81" s="5"/>
      <c r="E81" s="38"/>
      <c r="F81" s="61" t="str">
        <f aca="false">IF(OR(E81="",E80=""),"",E81-E80)</f>
        <v/>
      </c>
      <c r="G81" s="38"/>
      <c r="H81" s="5"/>
      <c r="I81" s="38"/>
      <c r="J81" s="5"/>
      <c r="K81" s="9" t="str">
        <f aca="false">IF(OR(F81="",F81="-",$L$77=""),"",IF(F81&gt;$L$77,"초과",IF(AND($F$77&lt;&gt;"",E81&gt;$F$77+1),"오버슈트","OK")))</f>
        <v/>
      </c>
      <c r="L81" s="39"/>
    </row>
    <row r="82" customFormat="false" ht="15" hidden="false" customHeight="false" outlineLevel="0" collapsed="false">
      <c r="A82" s="59" t="n">
        <v>3</v>
      </c>
      <c r="B82" s="48"/>
      <c r="C82" s="5"/>
      <c r="D82" s="5"/>
      <c r="E82" s="38"/>
      <c r="F82" s="61" t="str">
        <f aca="false">IF(OR(E82="",E81=""),"",E82-E81)</f>
        <v/>
      </c>
      <c r="G82" s="38"/>
      <c r="H82" s="5"/>
      <c r="I82" s="38"/>
      <c r="J82" s="5"/>
      <c r="K82" s="9" t="str">
        <f aca="false">IF(OR(F82="",F82="-",$L$77=""),"",IF(F82&gt;$L$77,"초과",IF(AND($F$77&lt;&gt;"",E82&gt;$F$77+1),"오버슈트","OK")))</f>
        <v/>
      </c>
      <c r="L82" s="39"/>
    </row>
    <row r="83" customFormat="false" ht="15" hidden="false" customHeight="false" outlineLevel="0" collapsed="false">
      <c r="A83" s="59" t="n">
        <v>4</v>
      </c>
      <c r="B83" s="48"/>
      <c r="C83" s="5"/>
      <c r="D83" s="5"/>
      <c r="E83" s="38"/>
      <c r="F83" s="61" t="str">
        <f aca="false">IF(OR(E83="",E82=""),"",E83-E82)</f>
        <v/>
      </c>
      <c r="G83" s="38"/>
      <c r="H83" s="5"/>
      <c r="I83" s="38"/>
      <c r="J83" s="5"/>
      <c r="K83" s="9" t="str">
        <f aca="false">IF(OR(F83="",F83="-",$L$77=""),"",IF(F83&gt;$L$77,"초과",IF(AND($F$77&lt;&gt;"",E83&gt;$F$77+1),"오버슈트","OK")))</f>
        <v/>
      </c>
      <c r="L83" s="39"/>
    </row>
    <row r="84" customFormat="false" ht="15" hidden="false" customHeight="false" outlineLevel="0" collapsed="false">
      <c r="A84" s="59" t="n">
        <v>5</v>
      </c>
      <c r="B84" s="48"/>
      <c r="C84" s="5"/>
      <c r="D84" s="5"/>
      <c r="E84" s="38"/>
      <c r="F84" s="61" t="str">
        <f aca="false">IF(OR(E84="",E83=""),"",E84-E83)</f>
        <v/>
      </c>
      <c r="G84" s="38"/>
      <c r="H84" s="5"/>
      <c r="I84" s="38"/>
      <c r="J84" s="5"/>
      <c r="K84" s="9" t="str">
        <f aca="false">IF(OR(F84="",F84="-",$L$77=""),"",IF(F84&gt;$L$77,"초과",IF(AND($F$77&lt;&gt;"",E84&gt;$F$77+1),"오버슈트","OK")))</f>
        <v/>
      </c>
      <c r="L84" s="39"/>
    </row>
    <row r="85" customFormat="false" ht="15" hidden="false" customHeight="false" outlineLevel="0" collapsed="false">
      <c r="A85" s="59" t="n">
        <v>6</v>
      </c>
      <c r="B85" s="48"/>
      <c r="C85" s="5"/>
      <c r="D85" s="5"/>
      <c r="E85" s="38"/>
      <c r="F85" s="61" t="str">
        <f aca="false">IF(OR(E85="",E84=""),"",E85-E84)</f>
        <v/>
      </c>
      <c r="G85" s="38"/>
      <c r="H85" s="5"/>
      <c r="I85" s="38"/>
      <c r="J85" s="5"/>
      <c r="K85" s="9" t="str">
        <f aca="false">IF(OR(F85="",F85="-",$L$77=""),"",IF(F85&gt;$L$77,"초과",IF(AND($F$77&lt;&gt;"",E85&gt;$F$77+1),"오버슈트","OK")))</f>
        <v/>
      </c>
      <c r="L85" s="39"/>
    </row>
    <row r="86" customFormat="false" ht="15" hidden="false" customHeight="false" outlineLevel="0" collapsed="false">
      <c r="A86" s="59" t="n">
        <v>7</v>
      </c>
      <c r="B86" s="48"/>
      <c r="C86" s="5"/>
      <c r="D86" s="5"/>
      <c r="E86" s="38"/>
      <c r="F86" s="61" t="str">
        <f aca="false">IF(OR(E86="",E85=""),"",E86-E85)</f>
        <v/>
      </c>
      <c r="G86" s="38"/>
      <c r="H86" s="5"/>
      <c r="I86" s="38"/>
      <c r="J86" s="5"/>
      <c r="K86" s="9" t="str">
        <f aca="false">IF(OR(F86="",F86="-",$L$77=""),"",IF(F86&gt;$L$77,"초과",IF(AND($F$77&lt;&gt;"",E86&gt;$F$77+1),"오버슈트","OK")))</f>
        <v/>
      </c>
      <c r="L86" s="39"/>
    </row>
    <row r="87" customFormat="false" ht="15" hidden="false" customHeight="false" outlineLevel="0" collapsed="false">
      <c r="A87" s="59" t="n">
        <v>8</v>
      </c>
      <c r="B87" s="48"/>
      <c r="C87" s="5"/>
      <c r="D87" s="5"/>
      <c r="E87" s="38"/>
      <c r="F87" s="61" t="str">
        <f aca="false">IF(OR(E87="",E86=""),"",E87-E86)</f>
        <v/>
      </c>
      <c r="G87" s="38"/>
      <c r="H87" s="5"/>
      <c r="I87" s="38"/>
      <c r="J87" s="5"/>
      <c r="K87" s="9" t="str">
        <f aca="false">IF(OR(F87="",F87="-",$L$77=""),"",IF(F87&gt;$L$77,"초과",IF(AND($F$77&lt;&gt;"",E87&gt;$F$77+1),"오버슈트","OK")))</f>
        <v/>
      </c>
      <c r="L87" s="39"/>
    </row>
    <row r="88" customFormat="false" ht="15" hidden="false" customHeight="false" outlineLevel="0" collapsed="false">
      <c r="A88" s="59" t="n">
        <v>9</v>
      </c>
      <c r="B88" s="48"/>
      <c r="C88" s="5"/>
      <c r="D88" s="5"/>
      <c r="E88" s="38"/>
      <c r="F88" s="61" t="str">
        <f aca="false">IF(OR(E88="",E87=""),"",E88-E87)</f>
        <v/>
      </c>
      <c r="G88" s="38"/>
      <c r="H88" s="5"/>
      <c r="I88" s="38"/>
      <c r="J88" s="5"/>
      <c r="K88" s="9" t="str">
        <f aca="false">IF(OR(F88="",F88="-",$L$77=""),"",IF(F88&gt;$L$77,"초과",IF(AND($F$77&lt;&gt;"",E88&gt;$F$77+1),"오버슈트","OK")))</f>
        <v/>
      </c>
      <c r="L88" s="39"/>
    </row>
    <row r="89" customFormat="false" ht="15" hidden="false" customHeight="false" outlineLevel="0" collapsed="false">
      <c r="A89" s="59" t="n">
        <v>10</v>
      </c>
      <c r="B89" s="48"/>
      <c r="C89" s="5"/>
      <c r="D89" s="5"/>
      <c r="E89" s="38"/>
      <c r="F89" s="61" t="str">
        <f aca="false">IF(OR(E89="",E88=""),"",E89-E88)</f>
        <v/>
      </c>
      <c r="G89" s="38"/>
      <c r="H89" s="5"/>
      <c r="I89" s="38"/>
      <c r="J89" s="5"/>
      <c r="K89" s="9" t="str">
        <f aca="false">IF(OR(F89="",F89="-",$L$77=""),"",IF(F89&gt;$L$77,"초과",IF(AND($F$77&lt;&gt;"",E89&gt;$F$77+1),"오버슈트","OK")))</f>
        <v/>
      </c>
      <c r="L89" s="39"/>
    </row>
    <row r="90" customFormat="false" ht="15" hidden="false" customHeight="false" outlineLevel="0" collapsed="false">
      <c r="A90" s="59" t="n">
        <v>11</v>
      </c>
      <c r="B90" s="48"/>
      <c r="C90" s="5"/>
      <c r="D90" s="5"/>
      <c r="E90" s="38"/>
      <c r="F90" s="61" t="str">
        <f aca="false">IF(OR(E90="",E89=""),"",E90-E89)</f>
        <v/>
      </c>
      <c r="G90" s="38"/>
      <c r="H90" s="5"/>
      <c r="I90" s="38"/>
      <c r="J90" s="5"/>
      <c r="K90" s="9" t="str">
        <f aca="false">IF(OR(F90="",F90="-",$L$77=""),"",IF(F90&gt;$L$77,"초과",IF(AND($F$77&lt;&gt;"",E90&gt;$F$77+1),"오버슈트","OK")))</f>
        <v/>
      </c>
      <c r="L90" s="39"/>
    </row>
    <row r="91" customFormat="false" ht="15" hidden="false" customHeight="false" outlineLevel="0" collapsed="false">
      <c r="A91" s="59" t="n">
        <v>12</v>
      </c>
      <c r="B91" s="48"/>
      <c r="C91" s="5"/>
      <c r="D91" s="5"/>
      <c r="E91" s="38"/>
      <c r="F91" s="61" t="str">
        <f aca="false">IF(OR(E91="",E90=""),"",E91-E90)</f>
        <v/>
      </c>
      <c r="G91" s="38"/>
      <c r="H91" s="5"/>
      <c r="I91" s="38"/>
      <c r="J91" s="5"/>
      <c r="K91" s="9" t="str">
        <f aca="false">IF(OR(F91="",F91="-",$L$77=""),"",IF(F91&gt;$L$77,"초과",IF(AND($F$77&lt;&gt;"",E91&gt;$F$77+1),"오버슈트","OK")))</f>
        <v/>
      </c>
      <c r="L91" s="39"/>
    </row>
    <row r="92" customFormat="false" ht="15" hidden="false" customHeight="false" outlineLevel="0" collapsed="false">
      <c r="A92" s="59" t="n">
        <v>13</v>
      </c>
      <c r="B92" s="48"/>
      <c r="C92" s="5"/>
      <c r="D92" s="5"/>
      <c r="E92" s="38"/>
      <c r="F92" s="61" t="str">
        <f aca="false">IF(OR(E92="",E91=""),"",E92-E91)</f>
        <v/>
      </c>
      <c r="G92" s="38"/>
      <c r="H92" s="5"/>
      <c r="I92" s="38"/>
      <c r="J92" s="5"/>
      <c r="K92" s="9" t="str">
        <f aca="false">IF(OR(F92="",F92="-",$L$77=""),"",IF(F92&gt;$L$77,"초과",IF(AND($F$77&lt;&gt;"",E92&gt;$F$77+1),"오버슈트","OK")))</f>
        <v/>
      </c>
      <c r="L92" s="39"/>
    </row>
    <row r="93" customFormat="false" ht="15" hidden="false" customHeight="false" outlineLevel="0" collapsed="false">
      <c r="A93" s="59" t="n">
        <v>14</v>
      </c>
      <c r="B93" s="48"/>
      <c r="C93" s="5"/>
      <c r="D93" s="5"/>
      <c r="E93" s="38"/>
      <c r="F93" s="61" t="str">
        <f aca="false">IF(OR(E93="",E92=""),"",E93-E92)</f>
        <v/>
      </c>
      <c r="G93" s="38"/>
      <c r="H93" s="5"/>
      <c r="I93" s="38"/>
      <c r="J93" s="5"/>
      <c r="K93" s="9" t="str">
        <f aca="false">IF(OR(F93="",F93="-",$L$77=""),"",IF(F93&gt;$L$77,"초과",IF(AND($F$77&lt;&gt;"",E93&gt;$F$77+1),"오버슈트","OK")))</f>
        <v/>
      </c>
      <c r="L93" s="39"/>
    </row>
    <row r="94" customFormat="false" ht="15" hidden="false" customHeight="false" outlineLevel="0" collapsed="false">
      <c r="A94" s="59" t="n">
        <v>15</v>
      </c>
      <c r="B94" s="48"/>
      <c r="C94" s="5"/>
      <c r="D94" s="5"/>
      <c r="E94" s="38"/>
      <c r="F94" s="61" t="str">
        <f aca="false">IF(OR(E94="",E93=""),"",E94-E93)</f>
        <v/>
      </c>
      <c r="G94" s="38"/>
      <c r="H94" s="5"/>
      <c r="I94" s="38"/>
      <c r="J94" s="5"/>
      <c r="K94" s="9" t="str">
        <f aca="false">IF(OR(F94="",F94="-",$L$77=""),"",IF(F94&gt;$L$77,"초과",IF(AND($F$77&lt;&gt;"",E94&gt;$F$77+1),"오버슈트","OK")))</f>
        <v/>
      </c>
      <c r="L94" s="39"/>
    </row>
    <row r="95" customFormat="false" ht="15" hidden="false" customHeight="false" outlineLevel="0" collapsed="false">
      <c r="A95" s="59" t="n">
        <v>16</v>
      </c>
      <c r="B95" s="48"/>
      <c r="C95" s="5"/>
      <c r="D95" s="5"/>
      <c r="E95" s="38"/>
      <c r="F95" s="61" t="str">
        <f aca="false">IF(OR(E95="",E94=""),"",E95-E94)</f>
        <v/>
      </c>
      <c r="G95" s="38"/>
      <c r="H95" s="5"/>
      <c r="I95" s="38"/>
      <c r="J95" s="5"/>
      <c r="K95" s="9" t="str">
        <f aca="false">IF(OR(F95="",F95="-",$L$77=""),"",IF(F95&gt;$L$77,"초과",IF(AND($F$77&lt;&gt;"",E95&gt;$F$77+1),"오버슈트","OK")))</f>
        <v/>
      </c>
      <c r="L95" s="39"/>
    </row>
    <row r="96" customFormat="false" ht="15" hidden="false" customHeight="false" outlineLevel="0" collapsed="false">
      <c r="A96" s="59" t="n">
        <v>17</v>
      </c>
      <c r="B96" s="48"/>
      <c r="C96" s="5"/>
      <c r="D96" s="5"/>
      <c r="E96" s="38"/>
      <c r="F96" s="61" t="str">
        <f aca="false">IF(OR(E96="",E95=""),"",E96-E95)</f>
        <v/>
      </c>
      <c r="G96" s="38"/>
      <c r="H96" s="5"/>
      <c r="I96" s="38"/>
      <c r="J96" s="5"/>
      <c r="K96" s="9" t="str">
        <f aca="false">IF(OR(F96="",F96="-",$L$77=""),"",IF(F96&gt;$L$77,"초과",IF(AND($F$77&lt;&gt;"",E96&gt;$F$77+1),"오버슈트","OK")))</f>
        <v/>
      </c>
      <c r="L96" s="39"/>
    </row>
    <row r="97" customFormat="false" ht="15" hidden="false" customHeight="false" outlineLevel="0" collapsed="false">
      <c r="A97" s="59" t="n">
        <v>18</v>
      </c>
      <c r="B97" s="48"/>
      <c r="C97" s="5"/>
      <c r="D97" s="5"/>
      <c r="E97" s="38"/>
      <c r="F97" s="61" t="str">
        <f aca="false">IF(OR(E97="",E96=""),"",E97-E96)</f>
        <v/>
      </c>
      <c r="G97" s="38"/>
      <c r="H97" s="5"/>
      <c r="I97" s="38"/>
      <c r="J97" s="5"/>
      <c r="K97" s="9" t="str">
        <f aca="false">IF(OR(F97="",F97="-",$L$77=""),"",IF(F97&gt;$L$77,"초과",IF(AND($F$77&lt;&gt;"",E97&gt;$F$77+1),"오버슈트","OK")))</f>
        <v/>
      </c>
      <c r="L97" s="39"/>
    </row>
    <row r="98" customFormat="false" ht="15" hidden="false" customHeight="false" outlineLevel="0" collapsed="false">
      <c r="A98" s="59" t="n">
        <v>19</v>
      </c>
      <c r="B98" s="48"/>
      <c r="C98" s="5"/>
      <c r="D98" s="5"/>
      <c r="E98" s="38"/>
      <c r="F98" s="61" t="str">
        <f aca="false">IF(OR(E98="",E97=""),"",E98-E97)</f>
        <v/>
      </c>
      <c r="G98" s="38"/>
      <c r="H98" s="5"/>
      <c r="I98" s="38"/>
      <c r="J98" s="5"/>
      <c r="K98" s="9" t="str">
        <f aca="false">IF(OR(F98="",F98="-",$L$77=""),"",IF(F98&gt;$L$77,"초과",IF(AND($F$77&lt;&gt;"",E98&gt;$F$77+1),"오버슈트","OK")))</f>
        <v/>
      </c>
      <c r="L98" s="39"/>
    </row>
    <row r="99" customFormat="false" ht="15" hidden="false" customHeight="false" outlineLevel="0" collapsed="false">
      <c r="A99" s="59" t="n">
        <v>20</v>
      </c>
      <c r="B99" s="48"/>
      <c r="C99" s="5"/>
      <c r="D99" s="5"/>
      <c r="E99" s="38"/>
      <c r="F99" s="61" t="str">
        <f aca="false">IF(OR(E99="",E98=""),"",E99-E98)</f>
        <v/>
      </c>
      <c r="G99" s="38"/>
      <c r="H99" s="5"/>
      <c r="I99" s="38"/>
      <c r="J99" s="5"/>
      <c r="K99" s="9" t="str">
        <f aca="false">IF(OR(F99="",F99="-",$L$77=""),"",IF(F99&gt;$L$77,"초과",IF(AND($F$77&lt;&gt;"",E99&gt;$F$77+1),"오버슈트","OK")))</f>
        <v/>
      </c>
      <c r="L99" s="39"/>
    </row>
    <row r="100" customFormat="false" ht="15" hidden="false" customHeight="false" outlineLevel="0" collapsed="false">
      <c r="A100" s="59" t="n">
        <v>21</v>
      </c>
      <c r="B100" s="48"/>
      <c r="C100" s="5"/>
      <c r="D100" s="5"/>
      <c r="E100" s="38"/>
      <c r="F100" s="61" t="str">
        <f aca="false">IF(OR(E100="",E99=""),"",E100-E99)</f>
        <v/>
      </c>
      <c r="G100" s="38"/>
      <c r="H100" s="5"/>
      <c r="I100" s="38"/>
      <c r="J100" s="5"/>
      <c r="K100" s="9" t="str">
        <f aca="false">IF(OR(F100="",F100="-",$L$77=""),"",IF(F100&gt;$L$77,"초과",IF(AND($F$77&lt;&gt;"",E100&gt;$F$77+1),"오버슈트","OK")))</f>
        <v/>
      </c>
      <c r="L100" s="39"/>
    </row>
    <row r="101" customFormat="false" ht="15" hidden="false" customHeight="false" outlineLevel="0" collapsed="false">
      <c r="A101" s="59" t="n">
        <v>22</v>
      </c>
      <c r="B101" s="48"/>
      <c r="C101" s="5"/>
      <c r="D101" s="5"/>
      <c r="E101" s="38"/>
      <c r="F101" s="61" t="str">
        <f aca="false">IF(OR(E101="",E100=""),"",E101-E100)</f>
        <v/>
      </c>
      <c r="G101" s="38"/>
      <c r="H101" s="5"/>
      <c r="I101" s="38"/>
      <c r="J101" s="5"/>
      <c r="K101" s="9" t="str">
        <f aca="false">IF(OR(F101="",F101="-",$L$77=""),"",IF(F101&gt;$L$77,"초과",IF(AND($F$77&lt;&gt;"",E101&gt;$F$77+1),"오버슈트","OK")))</f>
        <v/>
      </c>
      <c r="L101" s="39"/>
    </row>
    <row r="102" customFormat="false" ht="15" hidden="false" customHeight="false" outlineLevel="0" collapsed="false">
      <c r="A102" s="59" t="n">
        <v>23</v>
      </c>
      <c r="B102" s="48"/>
      <c r="C102" s="5"/>
      <c r="D102" s="5"/>
      <c r="E102" s="38"/>
      <c r="F102" s="61" t="str">
        <f aca="false">IF(OR(E102="",E101=""),"",E102-E101)</f>
        <v/>
      </c>
      <c r="G102" s="38"/>
      <c r="H102" s="5"/>
      <c r="I102" s="38"/>
      <c r="J102" s="5"/>
      <c r="K102" s="9" t="str">
        <f aca="false">IF(OR(F102="",F102="-",$L$77=""),"",IF(F102&gt;$L$77,"초과",IF(AND($F$77&lt;&gt;"",E102&gt;$F$77+1),"오버슈트","OK")))</f>
        <v/>
      </c>
      <c r="L102" s="39"/>
    </row>
    <row r="103" customFormat="false" ht="15" hidden="false" customHeight="false" outlineLevel="0" collapsed="false">
      <c r="A103" s="59" t="n">
        <v>24</v>
      </c>
      <c r="B103" s="48"/>
      <c r="C103" s="5"/>
      <c r="D103" s="5"/>
      <c r="E103" s="38"/>
      <c r="F103" s="61" t="str">
        <f aca="false">IF(OR(E103="",E102=""),"",E103-E102)</f>
        <v/>
      </c>
      <c r="G103" s="38"/>
      <c r="H103" s="5"/>
      <c r="I103" s="38"/>
      <c r="J103" s="5"/>
      <c r="K103" s="9" t="str">
        <f aca="false">IF(OR(F103="",F103="-",$L$77=""),"",IF(F103&gt;$L$77,"초과",IF(AND($F$77&lt;&gt;"",E103&gt;$F$77+1),"오버슈트","OK")))</f>
        <v/>
      </c>
      <c r="L103" s="39"/>
    </row>
    <row r="104" customFormat="false" ht="15" hidden="false" customHeight="false" outlineLevel="0" collapsed="false">
      <c r="A104" s="59" t="n">
        <v>25</v>
      </c>
      <c r="B104" s="48"/>
      <c r="C104" s="5"/>
      <c r="D104" s="5"/>
      <c r="E104" s="38"/>
      <c r="F104" s="61" t="str">
        <f aca="false">IF(OR(E104="",E103=""),"",E104-E103)</f>
        <v/>
      </c>
      <c r="G104" s="38"/>
      <c r="H104" s="5"/>
      <c r="I104" s="38"/>
      <c r="J104" s="5"/>
      <c r="K104" s="9" t="str">
        <f aca="false">IF(OR(F104="",F104="-",$L$77=""),"",IF(F104&gt;$L$77,"초과",IF(AND($F$77&lt;&gt;"",E104&gt;$F$77+1),"오버슈트","OK")))</f>
        <v/>
      </c>
      <c r="L104" s="39"/>
    </row>
    <row r="105" customFormat="false" ht="15" hidden="false" customHeight="false" outlineLevel="0" collapsed="false">
      <c r="A105" s="59" t="n">
        <v>26</v>
      </c>
      <c r="B105" s="48"/>
      <c r="C105" s="5"/>
      <c r="D105" s="5"/>
      <c r="E105" s="38"/>
      <c r="F105" s="61" t="str">
        <f aca="false">IF(OR(E105="",E104=""),"",E105-E104)</f>
        <v/>
      </c>
      <c r="G105" s="38"/>
      <c r="H105" s="5"/>
      <c r="I105" s="38"/>
      <c r="J105" s="5"/>
      <c r="K105" s="9" t="str">
        <f aca="false">IF(OR(F105="",F105="-",$L$77=""),"",IF(F105&gt;$L$77,"초과",IF(AND($F$77&lt;&gt;"",E105&gt;$F$77+1),"오버슈트","OK")))</f>
        <v/>
      </c>
      <c r="L105" s="39"/>
    </row>
    <row r="106" customFormat="false" ht="15" hidden="false" customHeight="false" outlineLevel="0" collapsed="false">
      <c r="A106" s="59" t="n">
        <v>27</v>
      </c>
      <c r="B106" s="48"/>
      <c r="C106" s="5"/>
      <c r="D106" s="5"/>
      <c r="E106" s="38"/>
      <c r="F106" s="61" t="str">
        <f aca="false">IF(OR(E106="",E105=""),"",E106-E105)</f>
        <v/>
      </c>
      <c r="G106" s="38"/>
      <c r="H106" s="5"/>
      <c r="I106" s="38"/>
      <c r="J106" s="5"/>
      <c r="K106" s="9" t="str">
        <f aca="false">IF(OR(F106="",F106="-",$L$77=""),"",IF(F106&gt;$L$77,"초과",IF(AND($F$77&lt;&gt;"",E106&gt;$F$77+1),"오버슈트","OK")))</f>
        <v/>
      </c>
      <c r="L106" s="39"/>
    </row>
    <row r="107" customFormat="false" ht="15" hidden="false" customHeight="false" outlineLevel="0" collapsed="false">
      <c r="A107" s="59" t="n">
        <v>28</v>
      </c>
      <c r="B107" s="48"/>
      <c r="C107" s="5"/>
      <c r="D107" s="5"/>
      <c r="E107" s="38"/>
      <c r="F107" s="61" t="str">
        <f aca="false">IF(OR(E107="",E106=""),"",E107-E106)</f>
        <v/>
      </c>
      <c r="G107" s="38"/>
      <c r="H107" s="5"/>
      <c r="I107" s="38"/>
      <c r="J107" s="5"/>
      <c r="K107" s="9" t="str">
        <f aca="false">IF(OR(F107="",F107="-",$L$77=""),"",IF(F107&gt;$L$77,"초과",IF(AND($F$77&lt;&gt;"",E107&gt;$F$77+1),"오버슈트","OK")))</f>
        <v/>
      </c>
      <c r="L107" s="39"/>
    </row>
    <row r="108" customFormat="false" ht="15" hidden="false" customHeight="false" outlineLevel="0" collapsed="false">
      <c r="A108" s="59" t="n">
        <v>29</v>
      </c>
      <c r="B108" s="48"/>
      <c r="C108" s="5"/>
      <c r="D108" s="5"/>
      <c r="E108" s="38"/>
      <c r="F108" s="61" t="str">
        <f aca="false">IF(OR(E108="",E107=""),"",E108-E107)</f>
        <v/>
      </c>
      <c r="G108" s="38"/>
      <c r="H108" s="5"/>
      <c r="I108" s="38"/>
      <c r="J108" s="5"/>
      <c r="K108" s="9" t="str">
        <f aca="false">IF(OR(F108="",F108="-",$L$77=""),"",IF(F108&gt;$L$77,"초과",IF(AND($F$77&lt;&gt;"",E108&gt;$F$77+1),"오버슈트","OK")))</f>
        <v/>
      </c>
      <c r="L108" s="39"/>
    </row>
    <row r="109" customFormat="false" ht="15" hidden="false" customHeight="false" outlineLevel="0" collapsed="false">
      <c r="A109" s="59" t="n">
        <v>30</v>
      </c>
      <c r="B109" s="48"/>
      <c r="C109" s="5"/>
      <c r="D109" s="5"/>
      <c r="E109" s="38"/>
      <c r="F109" s="61" t="str">
        <f aca="false">IF(OR(E109="",E108=""),"",E109-E108)</f>
        <v/>
      </c>
      <c r="G109" s="38"/>
      <c r="H109" s="5"/>
      <c r="I109" s="38"/>
      <c r="J109" s="5"/>
      <c r="K109" s="9" t="str">
        <f aca="false">IF(OR(F109="",F109="-",$L$77=""),"",IF(F109&gt;$L$77,"초과",IF(AND($F$77&lt;&gt;"",E109&gt;$F$77+1),"오버슈트","OK")))</f>
        <v/>
      </c>
      <c r="L109" s="39"/>
    </row>
    <row r="110" customFormat="false" ht="30" hidden="false" customHeight="true" outlineLevel="0" collapsed="false">
      <c r="A110" s="63" t="s">
        <v>278</v>
      </c>
      <c r="B110" s="64" t="str">
        <f aca="false">IF(COUNT(F80:F109)=0,"",MAX(F80:F109))</f>
        <v/>
      </c>
      <c r="C110" s="63" t="s">
        <v>279</v>
      </c>
      <c r="D110" s="65" t="str">
        <f aca="false">IF(COUNT(E79:E109)=0,"",MAX(E79:E109))</f>
        <v/>
      </c>
      <c r="E110" s="63" t="s">
        <v>280</v>
      </c>
      <c r="F110" s="65" t="str">
        <f aca="false">IF(OR(F77="",COUNT(E79:E109)=0),"",MAX(E79:E109)-F77)</f>
        <v/>
      </c>
      <c r="G110" s="63" t="s">
        <v>281</v>
      </c>
      <c r="H110" s="65" t="str">
        <f aca="false">IF(COUNT(G79:G109)=0,"",MAX(G79:G109)-MIN(G79:G109))</f>
        <v/>
      </c>
      <c r="I110" s="63" t="s">
        <v>282</v>
      </c>
      <c r="J110" s="66" t="n">
        <f aca="false">COUNTIF(K79:K109,"초과")</f>
        <v>0</v>
      </c>
      <c r="K110" s="63" t="s">
        <v>283</v>
      </c>
      <c r="L110" s="65" t="str">
        <f aca="false">IF(COUNT(H79:H109)=0,"",MAX(H79:H109)-MIN(H79:H109))</f>
        <v/>
      </c>
    </row>
    <row r="112" customFormat="false" ht="15" hidden="false" customHeight="true" outlineLevel="0" collapsed="false">
      <c r="A112" s="57" t="s">
        <v>286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</row>
    <row r="113" customFormat="false" ht="25.35" hidden="false" customHeight="false" outlineLevel="0" collapsed="false">
      <c r="A113" s="27" t="s">
        <v>262</v>
      </c>
      <c r="B113" s="5"/>
      <c r="C113" s="27" t="s">
        <v>17</v>
      </c>
      <c r="D113" s="5"/>
      <c r="E113" s="58" t="s">
        <v>264</v>
      </c>
      <c r="F113" s="5"/>
      <c r="G113" s="58" t="s">
        <v>265</v>
      </c>
      <c r="H113" s="5"/>
      <c r="I113" s="58" t="s">
        <v>266</v>
      </c>
      <c r="J113" s="5"/>
      <c r="K113" s="58" t="s">
        <v>267</v>
      </c>
      <c r="L113" s="5"/>
    </row>
    <row r="114" customFormat="false" ht="36" hidden="false" customHeight="true" outlineLevel="0" collapsed="false">
      <c r="A114" s="15" t="s">
        <v>268</v>
      </c>
      <c r="B114" s="15" t="s">
        <v>144</v>
      </c>
      <c r="C114" s="14" t="s">
        <v>269</v>
      </c>
      <c r="D114" s="14" t="s">
        <v>270</v>
      </c>
      <c r="E114" s="15" t="s">
        <v>271</v>
      </c>
      <c r="F114" s="15" t="s">
        <v>272</v>
      </c>
      <c r="G114" s="15" t="s">
        <v>273</v>
      </c>
      <c r="H114" s="15" t="s">
        <v>274</v>
      </c>
      <c r="I114" s="15" t="s">
        <v>275</v>
      </c>
      <c r="J114" s="15" t="s">
        <v>276</v>
      </c>
      <c r="K114" s="15" t="s">
        <v>213</v>
      </c>
      <c r="L114" s="15" t="s">
        <v>277</v>
      </c>
    </row>
    <row r="115" customFormat="false" ht="15" hidden="false" customHeight="false" outlineLevel="0" collapsed="false">
      <c r="A115" s="59" t="n">
        <v>0</v>
      </c>
      <c r="B115" s="48"/>
      <c r="C115" s="5"/>
      <c r="D115" s="5"/>
      <c r="E115" s="38"/>
      <c r="F115" s="9" t="s">
        <v>89</v>
      </c>
      <c r="G115" s="38"/>
      <c r="H115" s="5"/>
      <c r="I115" s="38"/>
      <c r="J115" s="5"/>
      <c r="K115" s="9" t="str">
        <f aca="false">IF(OR(F115="",F115="-",$L$113=""),"",IF(F115&gt;$L$113,"초과",IF(AND($F$113&lt;&gt;"",E115&gt;$F$113+1),"오버슈트","OK")))</f>
        <v/>
      </c>
      <c r="L115" s="39"/>
    </row>
    <row r="116" customFormat="false" ht="15" hidden="false" customHeight="false" outlineLevel="0" collapsed="false">
      <c r="A116" s="59" t="n">
        <v>1</v>
      </c>
      <c r="B116" s="48"/>
      <c r="C116" s="5"/>
      <c r="D116" s="5"/>
      <c r="E116" s="38"/>
      <c r="F116" s="61" t="str">
        <f aca="false">IF(OR(E116="",E115=""),"",E116-E115)</f>
        <v/>
      </c>
      <c r="G116" s="38"/>
      <c r="H116" s="5"/>
      <c r="I116" s="38"/>
      <c r="J116" s="5"/>
      <c r="K116" s="9" t="str">
        <f aca="false">IF(OR(F116="",F116="-",$L$113=""),"",IF(F116&gt;$L$113,"초과",IF(AND($F$113&lt;&gt;"",E116&gt;$F$113+1),"오버슈트","OK")))</f>
        <v/>
      </c>
      <c r="L116" s="39"/>
    </row>
    <row r="117" customFormat="false" ht="15" hidden="false" customHeight="false" outlineLevel="0" collapsed="false">
      <c r="A117" s="59" t="n">
        <v>2</v>
      </c>
      <c r="B117" s="48"/>
      <c r="C117" s="5"/>
      <c r="D117" s="5"/>
      <c r="E117" s="38"/>
      <c r="F117" s="61" t="str">
        <f aca="false">IF(OR(E117="",E116=""),"",E117-E116)</f>
        <v/>
      </c>
      <c r="G117" s="38"/>
      <c r="H117" s="5"/>
      <c r="I117" s="38"/>
      <c r="J117" s="5"/>
      <c r="K117" s="9" t="str">
        <f aca="false">IF(OR(F117="",F117="-",$L$113=""),"",IF(F117&gt;$L$113,"초과",IF(AND($F$113&lt;&gt;"",E117&gt;$F$113+1),"오버슈트","OK")))</f>
        <v/>
      </c>
      <c r="L117" s="39"/>
    </row>
    <row r="118" customFormat="false" ht="15" hidden="false" customHeight="false" outlineLevel="0" collapsed="false">
      <c r="A118" s="59" t="n">
        <v>3</v>
      </c>
      <c r="B118" s="48"/>
      <c r="C118" s="5"/>
      <c r="D118" s="5"/>
      <c r="E118" s="38"/>
      <c r="F118" s="61" t="str">
        <f aca="false">IF(OR(E118="",E117=""),"",E118-E117)</f>
        <v/>
      </c>
      <c r="G118" s="38"/>
      <c r="H118" s="5"/>
      <c r="I118" s="38"/>
      <c r="J118" s="5"/>
      <c r="K118" s="9" t="str">
        <f aca="false">IF(OR(F118="",F118="-",$L$113=""),"",IF(F118&gt;$L$113,"초과",IF(AND($F$113&lt;&gt;"",E118&gt;$F$113+1),"오버슈트","OK")))</f>
        <v/>
      </c>
      <c r="L118" s="39"/>
    </row>
    <row r="119" customFormat="false" ht="15" hidden="false" customHeight="false" outlineLevel="0" collapsed="false">
      <c r="A119" s="59" t="n">
        <v>4</v>
      </c>
      <c r="B119" s="48"/>
      <c r="C119" s="5"/>
      <c r="D119" s="5"/>
      <c r="E119" s="38"/>
      <c r="F119" s="61" t="str">
        <f aca="false">IF(OR(E119="",E118=""),"",E119-E118)</f>
        <v/>
      </c>
      <c r="G119" s="38"/>
      <c r="H119" s="5"/>
      <c r="I119" s="38"/>
      <c r="J119" s="5"/>
      <c r="K119" s="9" t="str">
        <f aca="false">IF(OR(F119="",F119="-",$L$113=""),"",IF(F119&gt;$L$113,"초과",IF(AND($F$113&lt;&gt;"",E119&gt;$F$113+1),"오버슈트","OK")))</f>
        <v/>
      </c>
      <c r="L119" s="39"/>
    </row>
    <row r="120" customFormat="false" ht="15" hidden="false" customHeight="false" outlineLevel="0" collapsed="false">
      <c r="A120" s="59" t="n">
        <v>5</v>
      </c>
      <c r="B120" s="48"/>
      <c r="C120" s="5"/>
      <c r="D120" s="5"/>
      <c r="E120" s="38"/>
      <c r="F120" s="61" t="str">
        <f aca="false">IF(OR(E120="",E119=""),"",E120-E119)</f>
        <v/>
      </c>
      <c r="G120" s="38"/>
      <c r="H120" s="5"/>
      <c r="I120" s="38"/>
      <c r="J120" s="5"/>
      <c r="K120" s="9" t="str">
        <f aca="false">IF(OR(F120="",F120="-",$L$113=""),"",IF(F120&gt;$L$113,"초과",IF(AND($F$113&lt;&gt;"",E120&gt;$F$113+1),"오버슈트","OK")))</f>
        <v/>
      </c>
      <c r="L120" s="39"/>
    </row>
    <row r="121" customFormat="false" ht="15" hidden="false" customHeight="false" outlineLevel="0" collapsed="false">
      <c r="A121" s="59" t="n">
        <v>6</v>
      </c>
      <c r="B121" s="48"/>
      <c r="C121" s="5"/>
      <c r="D121" s="5"/>
      <c r="E121" s="38"/>
      <c r="F121" s="61" t="str">
        <f aca="false">IF(OR(E121="",E120=""),"",E121-E120)</f>
        <v/>
      </c>
      <c r="G121" s="38"/>
      <c r="H121" s="5"/>
      <c r="I121" s="38"/>
      <c r="J121" s="5"/>
      <c r="K121" s="9" t="str">
        <f aca="false">IF(OR(F121="",F121="-",$L$113=""),"",IF(F121&gt;$L$113,"초과",IF(AND($F$113&lt;&gt;"",E121&gt;$F$113+1),"오버슈트","OK")))</f>
        <v/>
      </c>
      <c r="L121" s="39"/>
    </row>
    <row r="122" customFormat="false" ht="15" hidden="false" customHeight="false" outlineLevel="0" collapsed="false">
      <c r="A122" s="59" t="n">
        <v>7</v>
      </c>
      <c r="B122" s="48"/>
      <c r="C122" s="5"/>
      <c r="D122" s="5"/>
      <c r="E122" s="38"/>
      <c r="F122" s="61" t="str">
        <f aca="false">IF(OR(E122="",E121=""),"",E122-E121)</f>
        <v/>
      </c>
      <c r="G122" s="38"/>
      <c r="H122" s="5"/>
      <c r="I122" s="38"/>
      <c r="J122" s="5"/>
      <c r="K122" s="9" t="str">
        <f aca="false">IF(OR(F122="",F122="-",$L$113=""),"",IF(F122&gt;$L$113,"초과",IF(AND($F$113&lt;&gt;"",E122&gt;$F$113+1),"오버슈트","OK")))</f>
        <v/>
      </c>
      <c r="L122" s="39"/>
    </row>
    <row r="123" customFormat="false" ht="15" hidden="false" customHeight="false" outlineLevel="0" collapsed="false">
      <c r="A123" s="59" t="n">
        <v>8</v>
      </c>
      <c r="B123" s="48"/>
      <c r="C123" s="5"/>
      <c r="D123" s="5"/>
      <c r="E123" s="38"/>
      <c r="F123" s="61" t="str">
        <f aca="false">IF(OR(E123="",E122=""),"",E123-E122)</f>
        <v/>
      </c>
      <c r="G123" s="38"/>
      <c r="H123" s="5"/>
      <c r="I123" s="38"/>
      <c r="J123" s="5"/>
      <c r="K123" s="9" t="str">
        <f aca="false">IF(OR(F123="",F123="-",$L$113=""),"",IF(F123&gt;$L$113,"초과",IF(AND($F$113&lt;&gt;"",E123&gt;$F$113+1),"오버슈트","OK")))</f>
        <v/>
      </c>
      <c r="L123" s="39"/>
    </row>
    <row r="124" customFormat="false" ht="15" hidden="false" customHeight="false" outlineLevel="0" collapsed="false">
      <c r="A124" s="59" t="n">
        <v>9</v>
      </c>
      <c r="B124" s="48"/>
      <c r="C124" s="5"/>
      <c r="D124" s="5"/>
      <c r="E124" s="38"/>
      <c r="F124" s="61" t="str">
        <f aca="false">IF(OR(E124="",E123=""),"",E124-E123)</f>
        <v/>
      </c>
      <c r="G124" s="38"/>
      <c r="H124" s="5"/>
      <c r="I124" s="38"/>
      <c r="J124" s="5"/>
      <c r="K124" s="9" t="str">
        <f aca="false">IF(OR(F124="",F124="-",$L$113=""),"",IF(F124&gt;$L$113,"초과",IF(AND($F$113&lt;&gt;"",E124&gt;$F$113+1),"오버슈트","OK")))</f>
        <v/>
      </c>
      <c r="L124" s="39"/>
    </row>
    <row r="125" customFormat="false" ht="15" hidden="false" customHeight="false" outlineLevel="0" collapsed="false">
      <c r="A125" s="59" t="n">
        <v>10</v>
      </c>
      <c r="B125" s="48"/>
      <c r="C125" s="5"/>
      <c r="D125" s="5"/>
      <c r="E125" s="38"/>
      <c r="F125" s="61" t="str">
        <f aca="false">IF(OR(E125="",E124=""),"",E125-E124)</f>
        <v/>
      </c>
      <c r="G125" s="38"/>
      <c r="H125" s="5"/>
      <c r="I125" s="38"/>
      <c r="J125" s="5"/>
      <c r="K125" s="9" t="str">
        <f aca="false">IF(OR(F125="",F125="-",$L$113=""),"",IF(F125&gt;$L$113,"초과",IF(AND($F$113&lt;&gt;"",E125&gt;$F$113+1),"오버슈트","OK")))</f>
        <v/>
      </c>
      <c r="L125" s="39"/>
    </row>
    <row r="126" customFormat="false" ht="15" hidden="false" customHeight="false" outlineLevel="0" collapsed="false">
      <c r="A126" s="59" t="n">
        <v>11</v>
      </c>
      <c r="B126" s="48"/>
      <c r="C126" s="5"/>
      <c r="D126" s="5"/>
      <c r="E126" s="38"/>
      <c r="F126" s="61" t="str">
        <f aca="false">IF(OR(E126="",E125=""),"",E126-E125)</f>
        <v/>
      </c>
      <c r="G126" s="38"/>
      <c r="H126" s="5"/>
      <c r="I126" s="38"/>
      <c r="J126" s="5"/>
      <c r="K126" s="9" t="str">
        <f aca="false">IF(OR(F126="",F126="-",$L$113=""),"",IF(F126&gt;$L$113,"초과",IF(AND($F$113&lt;&gt;"",E126&gt;$F$113+1),"오버슈트","OK")))</f>
        <v/>
      </c>
      <c r="L126" s="39"/>
    </row>
    <row r="127" customFormat="false" ht="15" hidden="false" customHeight="false" outlineLevel="0" collapsed="false">
      <c r="A127" s="59" t="n">
        <v>12</v>
      </c>
      <c r="B127" s="48"/>
      <c r="C127" s="5"/>
      <c r="D127" s="5"/>
      <c r="E127" s="38"/>
      <c r="F127" s="61" t="str">
        <f aca="false">IF(OR(E127="",E126=""),"",E127-E126)</f>
        <v/>
      </c>
      <c r="G127" s="38"/>
      <c r="H127" s="5"/>
      <c r="I127" s="38"/>
      <c r="J127" s="5"/>
      <c r="K127" s="9" t="str">
        <f aca="false">IF(OR(F127="",F127="-",$L$113=""),"",IF(F127&gt;$L$113,"초과",IF(AND($F$113&lt;&gt;"",E127&gt;$F$113+1),"오버슈트","OK")))</f>
        <v/>
      </c>
      <c r="L127" s="39"/>
    </row>
    <row r="128" customFormat="false" ht="15" hidden="false" customHeight="false" outlineLevel="0" collapsed="false">
      <c r="A128" s="59" t="n">
        <v>13</v>
      </c>
      <c r="B128" s="48"/>
      <c r="C128" s="5"/>
      <c r="D128" s="5"/>
      <c r="E128" s="38"/>
      <c r="F128" s="61" t="str">
        <f aca="false">IF(OR(E128="",E127=""),"",E128-E127)</f>
        <v/>
      </c>
      <c r="G128" s="38"/>
      <c r="H128" s="5"/>
      <c r="I128" s="38"/>
      <c r="J128" s="5"/>
      <c r="K128" s="9" t="str">
        <f aca="false">IF(OR(F128="",F128="-",$L$113=""),"",IF(F128&gt;$L$113,"초과",IF(AND($F$113&lt;&gt;"",E128&gt;$F$113+1),"오버슈트","OK")))</f>
        <v/>
      </c>
      <c r="L128" s="39"/>
    </row>
    <row r="129" customFormat="false" ht="15" hidden="false" customHeight="false" outlineLevel="0" collapsed="false">
      <c r="A129" s="59" t="n">
        <v>14</v>
      </c>
      <c r="B129" s="48"/>
      <c r="C129" s="5"/>
      <c r="D129" s="5"/>
      <c r="E129" s="38"/>
      <c r="F129" s="61" t="str">
        <f aca="false">IF(OR(E129="",E128=""),"",E129-E128)</f>
        <v/>
      </c>
      <c r="G129" s="38"/>
      <c r="H129" s="5"/>
      <c r="I129" s="38"/>
      <c r="J129" s="5"/>
      <c r="K129" s="9" t="str">
        <f aca="false">IF(OR(F129="",F129="-",$L$113=""),"",IF(F129&gt;$L$113,"초과",IF(AND($F$113&lt;&gt;"",E129&gt;$F$113+1),"오버슈트","OK")))</f>
        <v/>
      </c>
      <c r="L129" s="39"/>
    </row>
    <row r="130" customFormat="false" ht="15" hidden="false" customHeight="false" outlineLevel="0" collapsed="false">
      <c r="A130" s="59" t="n">
        <v>15</v>
      </c>
      <c r="B130" s="48"/>
      <c r="C130" s="5"/>
      <c r="D130" s="5"/>
      <c r="E130" s="38"/>
      <c r="F130" s="61" t="str">
        <f aca="false">IF(OR(E130="",E129=""),"",E130-E129)</f>
        <v/>
      </c>
      <c r="G130" s="38"/>
      <c r="H130" s="5"/>
      <c r="I130" s="38"/>
      <c r="J130" s="5"/>
      <c r="K130" s="9" t="str">
        <f aca="false">IF(OR(F130="",F130="-",$L$113=""),"",IF(F130&gt;$L$113,"초과",IF(AND($F$113&lt;&gt;"",E130&gt;$F$113+1),"오버슈트","OK")))</f>
        <v/>
      </c>
      <c r="L130" s="39"/>
    </row>
    <row r="131" customFormat="false" ht="15" hidden="false" customHeight="false" outlineLevel="0" collapsed="false">
      <c r="A131" s="59" t="n">
        <v>16</v>
      </c>
      <c r="B131" s="48"/>
      <c r="C131" s="5"/>
      <c r="D131" s="5"/>
      <c r="E131" s="38"/>
      <c r="F131" s="61" t="str">
        <f aca="false">IF(OR(E131="",E130=""),"",E131-E130)</f>
        <v/>
      </c>
      <c r="G131" s="38"/>
      <c r="H131" s="5"/>
      <c r="I131" s="38"/>
      <c r="J131" s="5"/>
      <c r="K131" s="9" t="str">
        <f aca="false">IF(OR(F131="",F131="-",$L$113=""),"",IF(F131&gt;$L$113,"초과",IF(AND($F$113&lt;&gt;"",E131&gt;$F$113+1),"오버슈트","OK")))</f>
        <v/>
      </c>
      <c r="L131" s="39"/>
    </row>
    <row r="132" customFormat="false" ht="15" hidden="false" customHeight="false" outlineLevel="0" collapsed="false">
      <c r="A132" s="59" t="n">
        <v>17</v>
      </c>
      <c r="B132" s="48"/>
      <c r="C132" s="5"/>
      <c r="D132" s="5"/>
      <c r="E132" s="38"/>
      <c r="F132" s="61" t="str">
        <f aca="false">IF(OR(E132="",E131=""),"",E132-E131)</f>
        <v/>
      </c>
      <c r="G132" s="38"/>
      <c r="H132" s="5"/>
      <c r="I132" s="38"/>
      <c r="J132" s="5"/>
      <c r="K132" s="9" t="str">
        <f aca="false">IF(OR(F132="",F132="-",$L$113=""),"",IF(F132&gt;$L$113,"초과",IF(AND($F$113&lt;&gt;"",E132&gt;$F$113+1),"오버슈트","OK")))</f>
        <v/>
      </c>
      <c r="L132" s="39"/>
    </row>
    <row r="133" customFormat="false" ht="15" hidden="false" customHeight="false" outlineLevel="0" collapsed="false">
      <c r="A133" s="59" t="n">
        <v>18</v>
      </c>
      <c r="B133" s="48"/>
      <c r="C133" s="5"/>
      <c r="D133" s="5"/>
      <c r="E133" s="38"/>
      <c r="F133" s="61" t="str">
        <f aca="false">IF(OR(E133="",E132=""),"",E133-E132)</f>
        <v/>
      </c>
      <c r="G133" s="38"/>
      <c r="H133" s="5"/>
      <c r="I133" s="38"/>
      <c r="J133" s="5"/>
      <c r="K133" s="9" t="str">
        <f aca="false">IF(OR(F133="",F133="-",$L$113=""),"",IF(F133&gt;$L$113,"초과",IF(AND($F$113&lt;&gt;"",E133&gt;$F$113+1),"오버슈트","OK")))</f>
        <v/>
      </c>
      <c r="L133" s="39"/>
    </row>
    <row r="134" customFormat="false" ht="15" hidden="false" customHeight="false" outlineLevel="0" collapsed="false">
      <c r="A134" s="59" t="n">
        <v>19</v>
      </c>
      <c r="B134" s="48"/>
      <c r="C134" s="5"/>
      <c r="D134" s="5"/>
      <c r="E134" s="38"/>
      <c r="F134" s="61" t="str">
        <f aca="false">IF(OR(E134="",E133=""),"",E134-E133)</f>
        <v/>
      </c>
      <c r="G134" s="38"/>
      <c r="H134" s="5"/>
      <c r="I134" s="38"/>
      <c r="J134" s="5"/>
      <c r="K134" s="9" t="str">
        <f aca="false">IF(OR(F134="",F134="-",$L$113=""),"",IF(F134&gt;$L$113,"초과",IF(AND($F$113&lt;&gt;"",E134&gt;$F$113+1),"오버슈트","OK")))</f>
        <v/>
      </c>
      <c r="L134" s="39"/>
    </row>
    <row r="135" customFormat="false" ht="15" hidden="false" customHeight="false" outlineLevel="0" collapsed="false">
      <c r="A135" s="59" t="n">
        <v>20</v>
      </c>
      <c r="B135" s="48"/>
      <c r="C135" s="5"/>
      <c r="D135" s="5"/>
      <c r="E135" s="38"/>
      <c r="F135" s="61" t="str">
        <f aca="false">IF(OR(E135="",E134=""),"",E135-E134)</f>
        <v/>
      </c>
      <c r="G135" s="38"/>
      <c r="H135" s="5"/>
      <c r="I135" s="38"/>
      <c r="J135" s="5"/>
      <c r="K135" s="9" t="str">
        <f aca="false">IF(OR(F135="",F135="-",$L$113=""),"",IF(F135&gt;$L$113,"초과",IF(AND($F$113&lt;&gt;"",E135&gt;$F$113+1),"오버슈트","OK")))</f>
        <v/>
      </c>
      <c r="L135" s="39"/>
    </row>
    <row r="136" customFormat="false" ht="15" hidden="false" customHeight="false" outlineLevel="0" collapsed="false">
      <c r="A136" s="59" t="n">
        <v>21</v>
      </c>
      <c r="B136" s="48"/>
      <c r="C136" s="5"/>
      <c r="D136" s="5"/>
      <c r="E136" s="38"/>
      <c r="F136" s="61" t="str">
        <f aca="false">IF(OR(E136="",E135=""),"",E136-E135)</f>
        <v/>
      </c>
      <c r="G136" s="38"/>
      <c r="H136" s="5"/>
      <c r="I136" s="38"/>
      <c r="J136" s="5"/>
      <c r="K136" s="9" t="str">
        <f aca="false">IF(OR(F136="",F136="-",$L$113=""),"",IF(F136&gt;$L$113,"초과",IF(AND($F$113&lt;&gt;"",E136&gt;$F$113+1),"오버슈트","OK")))</f>
        <v/>
      </c>
      <c r="L136" s="39"/>
    </row>
    <row r="137" customFormat="false" ht="15" hidden="false" customHeight="false" outlineLevel="0" collapsed="false">
      <c r="A137" s="59" t="n">
        <v>22</v>
      </c>
      <c r="B137" s="48"/>
      <c r="C137" s="5"/>
      <c r="D137" s="5"/>
      <c r="E137" s="38"/>
      <c r="F137" s="61" t="str">
        <f aca="false">IF(OR(E137="",E136=""),"",E137-E136)</f>
        <v/>
      </c>
      <c r="G137" s="38"/>
      <c r="H137" s="5"/>
      <c r="I137" s="38"/>
      <c r="J137" s="5"/>
      <c r="K137" s="9" t="str">
        <f aca="false">IF(OR(F137="",F137="-",$L$113=""),"",IF(F137&gt;$L$113,"초과",IF(AND($F$113&lt;&gt;"",E137&gt;$F$113+1),"오버슈트","OK")))</f>
        <v/>
      </c>
      <c r="L137" s="39"/>
    </row>
    <row r="138" customFormat="false" ht="15" hidden="false" customHeight="false" outlineLevel="0" collapsed="false">
      <c r="A138" s="59" t="n">
        <v>23</v>
      </c>
      <c r="B138" s="48"/>
      <c r="C138" s="5"/>
      <c r="D138" s="5"/>
      <c r="E138" s="38"/>
      <c r="F138" s="61" t="str">
        <f aca="false">IF(OR(E138="",E137=""),"",E138-E137)</f>
        <v/>
      </c>
      <c r="G138" s="38"/>
      <c r="H138" s="5"/>
      <c r="I138" s="38"/>
      <c r="J138" s="5"/>
      <c r="K138" s="9" t="str">
        <f aca="false">IF(OR(F138="",F138="-",$L$113=""),"",IF(F138&gt;$L$113,"초과",IF(AND($F$113&lt;&gt;"",E138&gt;$F$113+1),"오버슈트","OK")))</f>
        <v/>
      </c>
      <c r="L138" s="39"/>
    </row>
    <row r="139" customFormat="false" ht="15" hidden="false" customHeight="false" outlineLevel="0" collapsed="false">
      <c r="A139" s="59" t="n">
        <v>24</v>
      </c>
      <c r="B139" s="48"/>
      <c r="C139" s="5"/>
      <c r="D139" s="5"/>
      <c r="E139" s="38"/>
      <c r="F139" s="61" t="str">
        <f aca="false">IF(OR(E139="",E138=""),"",E139-E138)</f>
        <v/>
      </c>
      <c r="G139" s="38"/>
      <c r="H139" s="5"/>
      <c r="I139" s="38"/>
      <c r="J139" s="5"/>
      <c r="K139" s="9" t="str">
        <f aca="false">IF(OR(F139="",F139="-",$L$113=""),"",IF(F139&gt;$L$113,"초과",IF(AND($F$113&lt;&gt;"",E139&gt;$F$113+1),"오버슈트","OK")))</f>
        <v/>
      </c>
      <c r="L139" s="39"/>
    </row>
    <row r="140" customFormat="false" ht="15" hidden="false" customHeight="false" outlineLevel="0" collapsed="false">
      <c r="A140" s="59" t="n">
        <v>25</v>
      </c>
      <c r="B140" s="48"/>
      <c r="C140" s="5"/>
      <c r="D140" s="5"/>
      <c r="E140" s="38"/>
      <c r="F140" s="61" t="str">
        <f aca="false">IF(OR(E140="",E139=""),"",E140-E139)</f>
        <v/>
      </c>
      <c r="G140" s="38"/>
      <c r="H140" s="5"/>
      <c r="I140" s="38"/>
      <c r="J140" s="5"/>
      <c r="K140" s="9" t="str">
        <f aca="false">IF(OR(F140="",F140="-",$L$113=""),"",IF(F140&gt;$L$113,"초과",IF(AND($F$113&lt;&gt;"",E140&gt;$F$113+1),"오버슈트","OK")))</f>
        <v/>
      </c>
      <c r="L140" s="39"/>
    </row>
    <row r="141" customFormat="false" ht="15" hidden="false" customHeight="false" outlineLevel="0" collapsed="false">
      <c r="A141" s="59" t="n">
        <v>26</v>
      </c>
      <c r="B141" s="48"/>
      <c r="C141" s="5"/>
      <c r="D141" s="5"/>
      <c r="E141" s="38"/>
      <c r="F141" s="61" t="str">
        <f aca="false">IF(OR(E141="",E140=""),"",E141-E140)</f>
        <v/>
      </c>
      <c r="G141" s="38"/>
      <c r="H141" s="5"/>
      <c r="I141" s="38"/>
      <c r="J141" s="5"/>
      <c r="K141" s="9" t="str">
        <f aca="false">IF(OR(F141="",F141="-",$L$113=""),"",IF(F141&gt;$L$113,"초과",IF(AND($F$113&lt;&gt;"",E141&gt;$F$113+1),"오버슈트","OK")))</f>
        <v/>
      </c>
      <c r="L141" s="39"/>
    </row>
    <row r="142" customFormat="false" ht="15" hidden="false" customHeight="false" outlineLevel="0" collapsed="false">
      <c r="A142" s="59" t="n">
        <v>27</v>
      </c>
      <c r="B142" s="48"/>
      <c r="C142" s="5"/>
      <c r="D142" s="5"/>
      <c r="E142" s="38"/>
      <c r="F142" s="61" t="str">
        <f aca="false">IF(OR(E142="",E141=""),"",E142-E141)</f>
        <v/>
      </c>
      <c r="G142" s="38"/>
      <c r="H142" s="5"/>
      <c r="I142" s="38"/>
      <c r="J142" s="5"/>
      <c r="K142" s="9" t="str">
        <f aca="false">IF(OR(F142="",F142="-",$L$113=""),"",IF(F142&gt;$L$113,"초과",IF(AND($F$113&lt;&gt;"",E142&gt;$F$113+1),"오버슈트","OK")))</f>
        <v/>
      </c>
      <c r="L142" s="39"/>
    </row>
    <row r="143" customFormat="false" ht="15" hidden="false" customHeight="false" outlineLevel="0" collapsed="false">
      <c r="A143" s="59" t="n">
        <v>28</v>
      </c>
      <c r="B143" s="48"/>
      <c r="C143" s="5"/>
      <c r="D143" s="5"/>
      <c r="E143" s="38"/>
      <c r="F143" s="61" t="str">
        <f aca="false">IF(OR(E143="",E142=""),"",E143-E142)</f>
        <v/>
      </c>
      <c r="G143" s="38"/>
      <c r="H143" s="5"/>
      <c r="I143" s="38"/>
      <c r="J143" s="5"/>
      <c r="K143" s="9" t="str">
        <f aca="false">IF(OR(F143="",F143="-",$L$113=""),"",IF(F143&gt;$L$113,"초과",IF(AND($F$113&lt;&gt;"",E143&gt;$F$113+1),"오버슈트","OK")))</f>
        <v/>
      </c>
      <c r="L143" s="39"/>
    </row>
    <row r="144" customFormat="false" ht="15" hidden="false" customHeight="false" outlineLevel="0" collapsed="false">
      <c r="A144" s="59" t="n">
        <v>29</v>
      </c>
      <c r="B144" s="48"/>
      <c r="C144" s="5"/>
      <c r="D144" s="5"/>
      <c r="E144" s="38"/>
      <c r="F144" s="61" t="str">
        <f aca="false">IF(OR(E144="",E143=""),"",E144-E143)</f>
        <v/>
      </c>
      <c r="G144" s="38"/>
      <c r="H144" s="5"/>
      <c r="I144" s="38"/>
      <c r="J144" s="5"/>
      <c r="K144" s="9" t="str">
        <f aca="false">IF(OR(F144="",F144="-",$L$113=""),"",IF(F144&gt;$L$113,"초과",IF(AND($F$113&lt;&gt;"",E144&gt;$F$113+1),"오버슈트","OK")))</f>
        <v/>
      </c>
      <c r="L144" s="39"/>
    </row>
    <row r="145" customFormat="false" ht="15" hidden="false" customHeight="false" outlineLevel="0" collapsed="false">
      <c r="A145" s="59" t="n">
        <v>30</v>
      </c>
      <c r="B145" s="48"/>
      <c r="C145" s="5"/>
      <c r="D145" s="5"/>
      <c r="E145" s="38"/>
      <c r="F145" s="61" t="str">
        <f aca="false">IF(OR(E145="",E144=""),"",E145-E144)</f>
        <v/>
      </c>
      <c r="G145" s="38"/>
      <c r="H145" s="5"/>
      <c r="I145" s="38"/>
      <c r="J145" s="5"/>
      <c r="K145" s="9" t="str">
        <f aca="false">IF(OR(F145="",F145="-",$L$113=""),"",IF(F145&gt;$L$113,"초과",IF(AND($F$113&lt;&gt;"",E145&gt;$F$113+1),"오버슈트","OK")))</f>
        <v/>
      </c>
      <c r="L145" s="39"/>
    </row>
    <row r="146" customFormat="false" ht="30" hidden="false" customHeight="true" outlineLevel="0" collapsed="false">
      <c r="A146" s="63" t="s">
        <v>278</v>
      </c>
      <c r="B146" s="64" t="str">
        <f aca="false">IF(COUNT(F116:F145)=0,"",MAX(F116:F145))</f>
        <v/>
      </c>
      <c r="C146" s="63" t="s">
        <v>279</v>
      </c>
      <c r="D146" s="65" t="str">
        <f aca="false">IF(COUNT(E115:E145)=0,"",MAX(E115:E145))</f>
        <v/>
      </c>
      <c r="E146" s="63" t="s">
        <v>280</v>
      </c>
      <c r="F146" s="65" t="str">
        <f aca="false">IF(OR(F113="",COUNT(E115:E145)=0),"",MAX(E115:E145)-F113)</f>
        <v/>
      </c>
      <c r="G146" s="63" t="s">
        <v>281</v>
      </c>
      <c r="H146" s="65" t="str">
        <f aca="false">IF(COUNT(G115:G145)=0,"",MAX(G115:G145)-MIN(G115:G145))</f>
        <v/>
      </c>
      <c r="I146" s="63" t="s">
        <v>282</v>
      </c>
      <c r="J146" s="66" t="n">
        <f aca="false">COUNTIF(K115:K145,"초과")</f>
        <v>0</v>
      </c>
      <c r="K146" s="63" t="s">
        <v>283</v>
      </c>
      <c r="L146" s="65" t="str">
        <f aca="false">IF(COUNT(H115:H145)=0,"",MAX(H115:H145)-MIN(H115:H145))</f>
        <v/>
      </c>
    </row>
  </sheetData>
  <mergeCells count="6">
    <mergeCell ref="A1:L1"/>
    <mergeCell ref="A2:L2"/>
    <mergeCell ref="A4:L4"/>
    <mergeCell ref="A40:L40"/>
    <mergeCell ref="A76:L76"/>
    <mergeCell ref="A112:L112"/>
  </mergeCells>
  <dataValidations count="4">
    <dataValidation allowBlank="true" errorStyle="stop" operator="between" showDropDown="false" showErrorMessage="false" showInputMessage="false" sqref="D5" type="list">
      <formula1>"AHU-G203,AHU-G204,AHU-G213,AHU-G301,AHU-G107"</formula1>
      <formula2>0</formula2>
    </dataValidation>
    <dataValidation allowBlank="true" errorStyle="stop" operator="between" showDropDown="false" showErrorMessage="false" showInputMessage="false" sqref="D41" type="list">
      <formula1>"AHU-G203,AHU-G204,AHU-G213,AHU-G301,AHU-G107"</formula1>
      <formula2>0</formula2>
    </dataValidation>
    <dataValidation allowBlank="true" errorStyle="stop" operator="between" showDropDown="false" showErrorMessage="false" showInputMessage="false" sqref="D77" type="list">
      <formula1>"AHU-G203,AHU-G204,AHU-G213,AHU-G301,AHU-G107"</formula1>
      <formula2>0</formula2>
    </dataValidation>
    <dataValidation allowBlank="true" errorStyle="stop" operator="between" showDropDown="false" showErrorMessage="false" showInputMessage="false" sqref="D113" type="list">
      <formula1>"AHU-G203,AHU-G204,AHU-G213,AHU-G301,AHU-G107"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&amp;C&amp;A  -  &amp;P /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10" min="3" style="0" width="8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5" min="14" style="0" width="9"/>
    <col collapsed="false" customWidth="true" hidden="false" outlineLevel="0" max="16" min="16" style="0" width="12"/>
    <col collapsed="false" customWidth="true" hidden="false" outlineLevel="0" max="17" min="17" style="0" width="26"/>
  </cols>
  <sheetData>
    <row r="1" customFormat="false" ht="25.5" hidden="false" customHeight="true" outlineLevel="0" collapsed="false">
      <c r="A1" s="23" t="s">
        <v>287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customFormat="false" ht="30" hidden="false" customHeight="true" outlineLevel="0" collapsed="false">
      <c r="A2" s="2" t="s">
        <v>288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58" t="s">
        <v>267</v>
      </c>
      <c r="B3" s="58"/>
      <c r="C3" s="67" t="n">
        <v>0.5</v>
      </c>
      <c r="D3" s="58" t="s">
        <v>289</v>
      </c>
      <c r="E3" s="58"/>
      <c r="F3" s="28" t="n">
        <v>1</v>
      </c>
      <c r="G3" s="58" t="s">
        <v>290</v>
      </c>
      <c r="H3" s="58"/>
      <c r="I3" s="28" t="n">
        <v>0.5</v>
      </c>
      <c r="J3" s="37" t="s">
        <v>291</v>
      </c>
    </row>
    <row r="5" customFormat="false" ht="39.75" hidden="false" customHeight="true" outlineLevel="0" collapsed="false">
      <c r="A5" s="14" t="s">
        <v>262</v>
      </c>
      <c r="B5" s="14" t="s">
        <v>17</v>
      </c>
      <c r="C5" s="15" t="s">
        <v>221</v>
      </c>
      <c r="D5" s="15" t="s">
        <v>292</v>
      </c>
      <c r="E5" s="15" t="s">
        <v>293</v>
      </c>
      <c r="F5" s="15" t="s">
        <v>294</v>
      </c>
      <c r="G5" s="15" t="s">
        <v>295</v>
      </c>
      <c r="H5" s="15" t="s">
        <v>296</v>
      </c>
      <c r="I5" s="15" t="s">
        <v>297</v>
      </c>
      <c r="J5" s="15" t="s">
        <v>298</v>
      </c>
      <c r="K5" s="15" t="s">
        <v>299</v>
      </c>
      <c r="L5" s="15" t="s">
        <v>300</v>
      </c>
      <c r="M5" s="15" t="s">
        <v>301</v>
      </c>
      <c r="N5" s="15" t="s">
        <v>302</v>
      </c>
      <c r="O5" s="15" t="s">
        <v>303</v>
      </c>
      <c r="P5" s="15" t="s">
        <v>213</v>
      </c>
      <c r="Q5" s="15" t="s">
        <v>24</v>
      </c>
    </row>
    <row r="6" customFormat="false" ht="15" hidden="false" customHeight="false" outlineLevel="0" collapsed="false">
      <c r="A6" s="44" t="s">
        <v>263</v>
      </c>
      <c r="B6" s="44" t="s">
        <v>30</v>
      </c>
      <c r="C6" s="52"/>
      <c r="D6" s="60" t="n">
        <v>5</v>
      </c>
      <c r="E6" s="60" t="n">
        <v>20</v>
      </c>
      <c r="F6" s="60" t="n">
        <v>20</v>
      </c>
      <c r="G6" s="60" t="n">
        <v>17.5</v>
      </c>
      <c r="H6" s="44" t="n">
        <v>10</v>
      </c>
      <c r="I6" s="44" t="n">
        <v>5</v>
      </c>
      <c r="J6" s="44" t="n">
        <v>35</v>
      </c>
      <c r="K6" s="68" t="n">
        <v>0.5</v>
      </c>
      <c r="L6" s="60" t="n">
        <v>0.3</v>
      </c>
      <c r="M6" s="44" t="n">
        <v>9</v>
      </c>
      <c r="N6" s="60" t="n">
        <v>0.2</v>
      </c>
      <c r="O6" s="44" t="n">
        <v>15</v>
      </c>
      <c r="P6" s="69" t="str">
        <f aca="false">IF(OR(K6="",L6=""),"",IF(AND(K6&lt;=$C$3,L6&lt;=$F$3,OR(N6="",N6&lt;=$I$3)),"적합","부적합"))</f>
        <v>적합</v>
      </c>
      <c r="Q6" s="70" t="s">
        <v>304</v>
      </c>
    </row>
    <row r="7" customFormat="false" ht="15" hidden="false" customHeight="false" outlineLevel="0" collapsed="false">
      <c r="A7" s="5"/>
      <c r="B7" s="5"/>
      <c r="C7" s="55"/>
      <c r="D7" s="38"/>
      <c r="E7" s="38"/>
      <c r="F7" s="38"/>
      <c r="G7" s="38"/>
      <c r="H7" s="5"/>
      <c r="I7" s="5"/>
      <c r="J7" s="5"/>
      <c r="K7" s="71"/>
      <c r="L7" s="38"/>
      <c r="M7" s="5"/>
      <c r="N7" s="38"/>
      <c r="O7" s="5"/>
      <c r="P7" s="69" t="str">
        <f aca="false">IF(OR(K7="",L7=""),"",IF(AND(K7&lt;=$C$3,L7&lt;=$F$3,OR(N7="",N7&lt;=$I$3)),"적합","부적합"))</f>
        <v/>
      </c>
      <c r="Q7" s="39"/>
    </row>
    <row r="8" customFormat="false" ht="15" hidden="false" customHeight="false" outlineLevel="0" collapsed="false">
      <c r="A8" s="5"/>
      <c r="B8" s="5"/>
      <c r="C8" s="55"/>
      <c r="D8" s="38"/>
      <c r="E8" s="38"/>
      <c r="F8" s="38"/>
      <c r="G8" s="38"/>
      <c r="H8" s="5"/>
      <c r="I8" s="5"/>
      <c r="J8" s="5"/>
      <c r="K8" s="71"/>
      <c r="L8" s="38"/>
      <c r="M8" s="5"/>
      <c r="N8" s="38"/>
      <c r="O8" s="5"/>
      <c r="P8" s="69" t="str">
        <f aca="false">IF(OR(K8="",L8=""),"",IF(AND(K8&lt;=$C$3,L8&lt;=$F$3,OR(N8="",N8&lt;=$I$3)),"적합","부적합"))</f>
        <v/>
      </c>
      <c r="Q8" s="39"/>
    </row>
    <row r="9" customFormat="false" ht="15" hidden="false" customHeight="false" outlineLevel="0" collapsed="false">
      <c r="A9" s="5"/>
      <c r="B9" s="5"/>
      <c r="C9" s="55"/>
      <c r="D9" s="38"/>
      <c r="E9" s="38"/>
      <c r="F9" s="38"/>
      <c r="G9" s="38"/>
      <c r="H9" s="5"/>
      <c r="I9" s="5"/>
      <c r="J9" s="5"/>
      <c r="K9" s="71"/>
      <c r="L9" s="38"/>
      <c r="M9" s="5"/>
      <c r="N9" s="38"/>
      <c r="O9" s="5"/>
      <c r="P9" s="69" t="str">
        <f aca="false">IF(OR(K9="",L9=""),"",IF(AND(K9&lt;=$C$3,L9&lt;=$F$3,OR(N9="",N9&lt;=$I$3)),"적합","부적합"))</f>
        <v/>
      </c>
      <c r="Q9" s="39"/>
    </row>
    <row r="10" customFormat="false" ht="15" hidden="false" customHeight="false" outlineLevel="0" collapsed="false">
      <c r="A10" s="5"/>
      <c r="B10" s="5"/>
      <c r="C10" s="55"/>
      <c r="D10" s="38"/>
      <c r="E10" s="38"/>
      <c r="F10" s="38"/>
      <c r="G10" s="38"/>
      <c r="H10" s="5"/>
      <c r="I10" s="5"/>
      <c r="J10" s="5"/>
      <c r="K10" s="71"/>
      <c r="L10" s="38"/>
      <c r="M10" s="5"/>
      <c r="N10" s="38"/>
      <c r="O10" s="5"/>
      <c r="P10" s="69" t="str">
        <f aca="false">IF(OR(K10="",L10=""),"",IF(AND(K10&lt;=$C$3,L10&lt;=$F$3,OR(N10="",N10&lt;=$I$3)),"적합","부적합"))</f>
        <v/>
      </c>
      <c r="Q10" s="39"/>
    </row>
    <row r="11" customFormat="false" ht="15" hidden="false" customHeight="false" outlineLevel="0" collapsed="false">
      <c r="A11" s="5"/>
      <c r="B11" s="5"/>
      <c r="C11" s="55"/>
      <c r="D11" s="38"/>
      <c r="E11" s="38"/>
      <c r="F11" s="38"/>
      <c r="G11" s="38"/>
      <c r="H11" s="5"/>
      <c r="I11" s="5"/>
      <c r="J11" s="5"/>
      <c r="K11" s="71"/>
      <c r="L11" s="38"/>
      <c r="M11" s="5"/>
      <c r="N11" s="38"/>
      <c r="O11" s="5"/>
      <c r="P11" s="69" t="str">
        <f aca="false">IF(OR(K11="",L11=""),"",IF(AND(K11&lt;=$C$3,L11&lt;=$F$3,OR(N11="",N11&lt;=$I$3)),"적합","부적합"))</f>
        <v/>
      </c>
      <c r="Q11" s="39"/>
    </row>
    <row r="12" customFormat="false" ht="15" hidden="false" customHeight="false" outlineLevel="0" collapsed="false">
      <c r="A12" s="5"/>
      <c r="B12" s="5"/>
      <c r="C12" s="55"/>
      <c r="D12" s="38"/>
      <c r="E12" s="38"/>
      <c r="F12" s="38"/>
      <c r="G12" s="38"/>
      <c r="H12" s="5"/>
      <c r="I12" s="5"/>
      <c r="J12" s="5"/>
      <c r="K12" s="71"/>
      <c r="L12" s="38"/>
      <c r="M12" s="5"/>
      <c r="N12" s="38"/>
      <c r="O12" s="5"/>
      <c r="P12" s="69" t="str">
        <f aca="false">IF(OR(K12="",L12=""),"",IF(AND(K12&lt;=$C$3,L12&lt;=$F$3,OR(N12="",N12&lt;=$I$3)),"적합","부적합"))</f>
        <v/>
      </c>
      <c r="Q12" s="39"/>
    </row>
    <row r="13" customFormat="false" ht="15" hidden="false" customHeight="false" outlineLevel="0" collapsed="false">
      <c r="A13" s="5"/>
      <c r="B13" s="5"/>
      <c r="C13" s="55"/>
      <c r="D13" s="38"/>
      <c r="E13" s="38"/>
      <c r="F13" s="38"/>
      <c r="G13" s="38"/>
      <c r="H13" s="5"/>
      <c r="I13" s="5"/>
      <c r="J13" s="5"/>
      <c r="K13" s="71"/>
      <c r="L13" s="38"/>
      <c r="M13" s="5"/>
      <c r="N13" s="38"/>
      <c r="O13" s="5"/>
      <c r="P13" s="69" t="str">
        <f aca="false">IF(OR(K13="",L13=""),"",IF(AND(K13&lt;=$C$3,L13&lt;=$F$3,OR(N13="",N13&lt;=$I$3)),"적합","부적합"))</f>
        <v/>
      </c>
      <c r="Q13" s="39"/>
    </row>
    <row r="14" customFormat="false" ht="15" hidden="false" customHeight="false" outlineLevel="0" collapsed="false">
      <c r="A14" s="5"/>
      <c r="B14" s="5"/>
      <c r="C14" s="55"/>
      <c r="D14" s="38"/>
      <c r="E14" s="38"/>
      <c r="F14" s="38"/>
      <c r="G14" s="38"/>
      <c r="H14" s="5"/>
      <c r="I14" s="5"/>
      <c r="J14" s="5"/>
      <c r="K14" s="71"/>
      <c r="L14" s="38"/>
      <c r="M14" s="5"/>
      <c r="N14" s="38"/>
      <c r="O14" s="5"/>
      <c r="P14" s="69" t="str">
        <f aca="false">IF(OR(K14="",L14=""),"",IF(AND(K14&lt;=$C$3,L14&lt;=$F$3,OR(N14="",N14&lt;=$I$3)),"적합","부적합"))</f>
        <v/>
      </c>
      <c r="Q14" s="39"/>
    </row>
    <row r="15" customFormat="false" ht="15" hidden="false" customHeight="false" outlineLevel="0" collapsed="false">
      <c r="A15" s="5"/>
      <c r="B15" s="5"/>
      <c r="C15" s="55"/>
      <c r="D15" s="38"/>
      <c r="E15" s="38"/>
      <c r="F15" s="38"/>
      <c r="G15" s="38"/>
      <c r="H15" s="5"/>
      <c r="I15" s="5"/>
      <c r="J15" s="5"/>
      <c r="K15" s="71"/>
      <c r="L15" s="38"/>
      <c r="M15" s="5"/>
      <c r="N15" s="38"/>
      <c r="O15" s="5"/>
      <c r="P15" s="69" t="str">
        <f aca="false">IF(OR(K15="",L15=""),"",IF(AND(K15&lt;=$C$3,L15&lt;=$F$3,OR(N15="",N15&lt;=$I$3)),"적합","부적합"))</f>
        <v/>
      </c>
      <c r="Q15" s="39"/>
    </row>
    <row r="16" customFormat="false" ht="15" hidden="false" customHeight="false" outlineLevel="0" collapsed="false">
      <c r="A16" s="5"/>
      <c r="B16" s="5"/>
      <c r="C16" s="55"/>
      <c r="D16" s="38"/>
      <c r="E16" s="38"/>
      <c r="F16" s="38"/>
      <c r="G16" s="38"/>
      <c r="H16" s="5"/>
      <c r="I16" s="5"/>
      <c r="J16" s="5"/>
      <c r="K16" s="71"/>
      <c r="L16" s="38"/>
      <c r="M16" s="5"/>
      <c r="N16" s="38"/>
      <c r="O16" s="5"/>
      <c r="P16" s="69" t="str">
        <f aca="false">IF(OR(K16="",L16=""),"",IF(AND(K16&lt;=$C$3,L16&lt;=$F$3,OR(N16="",N16&lt;=$I$3)),"적합","부적합"))</f>
        <v/>
      </c>
      <c r="Q16" s="39"/>
    </row>
    <row r="17" customFormat="false" ht="15" hidden="false" customHeight="false" outlineLevel="0" collapsed="false">
      <c r="A17" s="5"/>
      <c r="B17" s="5"/>
      <c r="C17" s="55"/>
      <c r="D17" s="38"/>
      <c r="E17" s="38"/>
      <c r="F17" s="38"/>
      <c r="G17" s="38"/>
      <c r="H17" s="5"/>
      <c r="I17" s="5"/>
      <c r="J17" s="5"/>
      <c r="K17" s="71"/>
      <c r="L17" s="38"/>
      <c r="M17" s="5"/>
      <c r="N17" s="38"/>
      <c r="O17" s="5"/>
      <c r="P17" s="69" t="str">
        <f aca="false">IF(OR(K17="",L17=""),"",IF(AND(K17&lt;=$C$3,L17&lt;=$F$3,OR(N17="",N17&lt;=$I$3)),"적합","부적합"))</f>
        <v/>
      </c>
      <c r="Q17" s="39"/>
    </row>
    <row r="18" customFormat="false" ht="15" hidden="false" customHeight="false" outlineLevel="0" collapsed="false">
      <c r="A18" s="5"/>
      <c r="B18" s="5"/>
      <c r="C18" s="55"/>
      <c r="D18" s="38"/>
      <c r="E18" s="38"/>
      <c r="F18" s="38"/>
      <c r="G18" s="38"/>
      <c r="H18" s="5"/>
      <c r="I18" s="5"/>
      <c r="J18" s="5"/>
      <c r="K18" s="71"/>
      <c r="L18" s="38"/>
      <c r="M18" s="5"/>
      <c r="N18" s="38"/>
      <c r="O18" s="5"/>
      <c r="P18" s="69" t="str">
        <f aca="false">IF(OR(K18="",L18=""),"",IF(AND(K18&lt;=$C$3,L18&lt;=$F$3,OR(N18="",N18&lt;=$I$3)),"적합","부적합"))</f>
        <v/>
      </c>
      <c r="Q18" s="39"/>
    </row>
    <row r="19" customFormat="false" ht="15" hidden="false" customHeight="false" outlineLevel="0" collapsed="false">
      <c r="A19" s="5"/>
      <c r="B19" s="5"/>
      <c r="C19" s="55"/>
      <c r="D19" s="38"/>
      <c r="E19" s="38"/>
      <c r="F19" s="38"/>
      <c r="G19" s="38"/>
      <c r="H19" s="5"/>
      <c r="I19" s="5"/>
      <c r="J19" s="5"/>
      <c r="K19" s="71"/>
      <c r="L19" s="38"/>
      <c r="M19" s="5"/>
      <c r="N19" s="38"/>
      <c r="O19" s="5"/>
      <c r="P19" s="69" t="str">
        <f aca="false">IF(OR(K19="",L19=""),"",IF(AND(K19&lt;=$C$3,L19&lt;=$F$3,OR(N19="",N19&lt;=$I$3)),"적합","부적합"))</f>
        <v/>
      </c>
      <c r="Q19" s="39"/>
    </row>
    <row r="20" customFormat="false" ht="15" hidden="false" customHeight="false" outlineLevel="0" collapsed="false">
      <c r="A20" s="5"/>
      <c r="B20" s="5"/>
      <c r="C20" s="55"/>
      <c r="D20" s="38"/>
      <c r="E20" s="38"/>
      <c r="F20" s="38"/>
      <c r="G20" s="38"/>
      <c r="H20" s="5"/>
      <c r="I20" s="5"/>
      <c r="J20" s="5"/>
      <c r="K20" s="71"/>
      <c r="L20" s="38"/>
      <c r="M20" s="5"/>
      <c r="N20" s="38"/>
      <c r="O20" s="5"/>
      <c r="P20" s="69" t="str">
        <f aca="false">IF(OR(K20="",L20=""),"",IF(AND(K20&lt;=$C$3,L20&lt;=$F$3,OR(N20="",N20&lt;=$I$3)),"적합","부적합"))</f>
        <v/>
      </c>
      <c r="Q20" s="39"/>
    </row>
    <row r="21" customFormat="false" ht="15" hidden="false" customHeight="false" outlineLevel="0" collapsed="false">
      <c r="A21" s="5"/>
      <c r="B21" s="5"/>
      <c r="C21" s="55"/>
      <c r="D21" s="38"/>
      <c r="E21" s="38"/>
      <c r="F21" s="38"/>
      <c r="G21" s="38"/>
      <c r="H21" s="5"/>
      <c r="I21" s="5"/>
      <c r="J21" s="5"/>
      <c r="K21" s="71"/>
      <c r="L21" s="38"/>
      <c r="M21" s="5"/>
      <c r="N21" s="38"/>
      <c r="O21" s="5"/>
      <c r="P21" s="69" t="str">
        <f aca="false">IF(OR(K21="",L21=""),"",IF(AND(K21&lt;=$C$3,L21&lt;=$F$3,OR(N21="",N21&lt;=$I$3)),"적합","부적합"))</f>
        <v/>
      </c>
      <c r="Q21" s="39"/>
    </row>
    <row r="22" customFormat="false" ht="15" hidden="false" customHeight="false" outlineLevel="0" collapsed="false">
      <c r="A22" s="5"/>
      <c r="B22" s="5"/>
      <c r="C22" s="55"/>
      <c r="D22" s="38"/>
      <c r="E22" s="38"/>
      <c r="F22" s="38"/>
      <c r="G22" s="38"/>
      <c r="H22" s="5"/>
      <c r="I22" s="5"/>
      <c r="J22" s="5"/>
      <c r="K22" s="71"/>
      <c r="L22" s="38"/>
      <c r="M22" s="5"/>
      <c r="N22" s="38"/>
      <c r="O22" s="5"/>
      <c r="P22" s="69" t="str">
        <f aca="false">IF(OR(K22="",L22=""),"",IF(AND(K22&lt;=$C$3,L22&lt;=$F$3,OR(N22="",N22&lt;=$I$3)),"적합","부적합"))</f>
        <v/>
      </c>
      <c r="Q22" s="39"/>
    </row>
    <row r="23" customFormat="false" ht="15" hidden="false" customHeight="false" outlineLevel="0" collapsed="false">
      <c r="A23" s="5"/>
      <c r="B23" s="5"/>
      <c r="C23" s="55"/>
      <c r="D23" s="38"/>
      <c r="E23" s="38"/>
      <c r="F23" s="38"/>
      <c r="G23" s="38"/>
      <c r="H23" s="5"/>
      <c r="I23" s="5"/>
      <c r="J23" s="5"/>
      <c r="K23" s="71"/>
      <c r="L23" s="38"/>
      <c r="M23" s="5"/>
      <c r="N23" s="38"/>
      <c r="O23" s="5"/>
      <c r="P23" s="69" t="str">
        <f aca="false">IF(OR(K23="",L23=""),"",IF(AND(K23&lt;=$C$3,L23&lt;=$F$3,OR(N23="",N23&lt;=$I$3)),"적합","부적합"))</f>
        <v/>
      </c>
      <c r="Q23" s="39"/>
    </row>
    <row r="24" customFormat="false" ht="15" hidden="false" customHeight="false" outlineLevel="0" collapsed="false">
      <c r="A24" s="5"/>
      <c r="B24" s="5"/>
      <c r="C24" s="55"/>
      <c r="D24" s="38"/>
      <c r="E24" s="38"/>
      <c r="F24" s="38"/>
      <c r="G24" s="38"/>
      <c r="H24" s="5"/>
      <c r="I24" s="5"/>
      <c r="J24" s="5"/>
      <c r="K24" s="71"/>
      <c r="L24" s="38"/>
      <c r="M24" s="5"/>
      <c r="N24" s="38"/>
      <c r="O24" s="5"/>
      <c r="P24" s="69" t="str">
        <f aca="false">IF(OR(K24="",L24=""),"",IF(AND(K24&lt;=$C$3,L24&lt;=$F$3,OR(N24="",N24&lt;=$I$3)),"적합","부적합"))</f>
        <v/>
      </c>
      <c r="Q24" s="39"/>
    </row>
    <row r="25" customFormat="false" ht="15" hidden="false" customHeight="false" outlineLevel="0" collapsed="false">
      <c r="A25" s="5"/>
      <c r="B25" s="5"/>
      <c r="C25" s="55"/>
      <c r="D25" s="38"/>
      <c r="E25" s="38"/>
      <c r="F25" s="38"/>
      <c r="G25" s="38"/>
      <c r="H25" s="5"/>
      <c r="I25" s="5"/>
      <c r="J25" s="5"/>
      <c r="K25" s="71"/>
      <c r="L25" s="38"/>
      <c r="M25" s="5"/>
      <c r="N25" s="38"/>
      <c r="O25" s="5"/>
      <c r="P25" s="69" t="str">
        <f aca="false">IF(OR(K25="",L25=""),"",IF(AND(K25&lt;=$C$3,L25&lt;=$F$3,OR(N25="",N25&lt;=$I$3)),"적합","부적합"))</f>
        <v/>
      </c>
      <c r="Q25" s="39"/>
    </row>
    <row r="28" customFormat="false" ht="15" hidden="false" customHeight="false" outlineLevel="0" collapsed="false">
      <c r="A28" s="36" t="s">
        <v>305</v>
      </c>
    </row>
    <row r="29" customFormat="false" ht="36" hidden="false" customHeight="true" outlineLevel="0" collapsed="false">
      <c r="A29" s="14" t="s">
        <v>17</v>
      </c>
      <c r="B29" s="15" t="s">
        <v>306</v>
      </c>
      <c r="C29" s="15" t="s">
        <v>307</v>
      </c>
      <c r="D29" s="15" t="s">
        <v>308</v>
      </c>
      <c r="E29" s="15" t="s">
        <v>309</v>
      </c>
      <c r="F29" s="15" t="s">
        <v>310</v>
      </c>
      <c r="G29" s="15" t="s">
        <v>298</v>
      </c>
      <c r="H29" s="15" t="s">
        <v>311</v>
      </c>
      <c r="I29" s="14"/>
      <c r="J29" s="14"/>
      <c r="K29" s="14"/>
      <c r="L29" s="14"/>
      <c r="M29" s="14"/>
      <c r="N29" s="14"/>
      <c r="O29" s="14"/>
      <c r="P29" s="14"/>
      <c r="Q29" s="15" t="s">
        <v>24</v>
      </c>
    </row>
    <row r="30" customFormat="false" ht="25.35" hidden="false" customHeight="false" outlineLevel="0" collapsed="false">
      <c r="A30" s="16" t="s">
        <v>25</v>
      </c>
      <c r="B30" s="5"/>
      <c r="C30" s="5"/>
      <c r="D30" s="5"/>
      <c r="E30" s="5"/>
      <c r="F30" s="5"/>
      <c r="G30" s="5"/>
      <c r="H30" s="5"/>
      <c r="I30" s="72"/>
      <c r="J30" s="72"/>
      <c r="K30" s="72"/>
      <c r="L30" s="72"/>
      <c r="M30" s="72"/>
      <c r="N30" s="72"/>
      <c r="O30" s="72"/>
      <c r="P30" s="72"/>
      <c r="Q30" s="5"/>
    </row>
    <row r="31" customFormat="false" ht="25.35" hidden="false" customHeight="false" outlineLevel="0" collapsed="false">
      <c r="A31" s="16" t="s">
        <v>28</v>
      </c>
      <c r="B31" s="5"/>
      <c r="C31" s="5"/>
      <c r="D31" s="5"/>
      <c r="E31" s="5"/>
      <c r="F31" s="5"/>
      <c r="G31" s="5"/>
      <c r="H31" s="5"/>
      <c r="I31" s="72"/>
      <c r="J31" s="72"/>
      <c r="K31" s="72"/>
      <c r="L31" s="72"/>
      <c r="M31" s="72"/>
      <c r="N31" s="72"/>
      <c r="O31" s="72"/>
      <c r="P31" s="72"/>
      <c r="Q31" s="5"/>
    </row>
    <row r="32" customFormat="false" ht="25.35" hidden="false" customHeight="false" outlineLevel="0" collapsed="false">
      <c r="A32" s="16" t="s">
        <v>30</v>
      </c>
      <c r="B32" s="5"/>
      <c r="C32" s="5"/>
      <c r="D32" s="5"/>
      <c r="E32" s="5"/>
      <c r="F32" s="5"/>
      <c r="G32" s="5"/>
      <c r="H32" s="5"/>
      <c r="I32" s="72"/>
      <c r="J32" s="72"/>
      <c r="K32" s="72"/>
      <c r="L32" s="72"/>
      <c r="M32" s="72"/>
      <c r="N32" s="72"/>
      <c r="O32" s="72"/>
      <c r="P32" s="72"/>
      <c r="Q32" s="5"/>
    </row>
    <row r="33" customFormat="false" ht="25.35" hidden="false" customHeight="false" outlineLevel="0" collapsed="false">
      <c r="A33" s="16" t="s">
        <v>31</v>
      </c>
      <c r="B33" s="5"/>
      <c r="C33" s="5"/>
      <c r="D33" s="5"/>
      <c r="E33" s="5"/>
      <c r="F33" s="5"/>
      <c r="G33" s="5"/>
      <c r="H33" s="5"/>
      <c r="I33" s="72"/>
      <c r="J33" s="72"/>
      <c r="K33" s="72"/>
      <c r="L33" s="72"/>
      <c r="M33" s="72"/>
      <c r="N33" s="72"/>
      <c r="O33" s="72"/>
      <c r="P33" s="72"/>
      <c r="Q33" s="5"/>
    </row>
    <row r="34" customFormat="false" ht="25.35" hidden="false" customHeight="false" outlineLevel="0" collapsed="false">
      <c r="A34" s="16" t="s">
        <v>33</v>
      </c>
      <c r="B34" s="5"/>
      <c r="C34" s="5"/>
      <c r="D34" s="5"/>
      <c r="E34" s="5"/>
      <c r="F34" s="5"/>
      <c r="G34" s="5"/>
      <c r="H34" s="5"/>
      <c r="I34" s="72"/>
      <c r="J34" s="72"/>
      <c r="K34" s="72"/>
      <c r="L34" s="72"/>
      <c r="M34" s="72"/>
      <c r="N34" s="72"/>
      <c r="O34" s="72"/>
      <c r="P34" s="72"/>
      <c r="Q34" s="5"/>
    </row>
  </sheetData>
  <mergeCells count="10">
    <mergeCell ref="A1:Q1"/>
    <mergeCell ref="A2:Q2"/>
    <mergeCell ref="A3:B3"/>
    <mergeCell ref="D3:E3"/>
    <mergeCell ref="G3:H3"/>
    <mergeCell ref="I30:P30"/>
    <mergeCell ref="I31:P31"/>
    <mergeCell ref="I32:P32"/>
    <mergeCell ref="I33:P33"/>
    <mergeCell ref="I34:P34"/>
  </mergeCells>
  <dataValidations count="1">
    <dataValidation allowBlank="true" errorStyle="stop" operator="between" showDropDown="false" showErrorMessage="false" showInputMessage="false" sqref="B6:B25" type="list">
      <formula1>"AHU-G203,AHU-G204,AHU-G213,AHU-G301,AHU-G107"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23" t="s">
        <v>312</v>
      </c>
      <c r="B1" s="23"/>
      <c r="C1" s="23"/>
      <c r="D1" s="23"/>
      <c r="E1" s="23"/>
      <c r="F1" s="23"/>
      <c r="G1" s="23"/>
      <c r="H1" s="23"/>
    </row>
    <row r="2" customFormat="false" ht="30" hidden="false" customHeight="true" outlineLevel="0" collapsed="false">
      <c r="A2" s="2" t="s">
        <v>313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4" t="s">
        <v>64</v>
      </c>
      <c r="B4" s="15" t="s">
        <v>18</v>
      </c>
      <c r="C4" s="15" t="s">
        <v>314</v>
      </c>
      <c r="D4" s="15" t="s">
        <v>315</v>
      </c>
      <c r="E4" s="15" t="s">
        <v>316</v>
      </c>
      <c r="F4" s="15" t="s">
        <v>317</v>
      </c>
      <c r="G4" s="15" t="s">
        <v>318</v>
      </c>
      <c r="H4" s="15" t="s">
        <v>319</v>
      </c>
    </row>
    <row r="5" customFormat="false" ht="31.5" hidden="false" customHeight="true" outlineLevel="0" collapsed="false">
      <c r="A5" s="16" t="n">
        <v>1</v>
      </c>
      <c r="B5" s="73" t="s">
        <v>320</v>
      </c>
      <c r="C5" s="21" t="s">
        <v>321</v>
      </c>
      <c r="D5" s="29" t="s">
        <v>322</v>
      </c>
      <c r="E5" s="74" t="s">
        <v>26</v>
      </c>
      <c r="F5" s="5"/>
      <c r="G5" s="39"/>
      <c r="H5" s="39"/>
    </row>
    <row r="6" customFormat="false" ht="31.5" hidden="false" customHeight="true" outlineLevel="0" collapsed="false">
      <c r="A6" s="16" t="n">
        <v>2</v>
      </c>
      <c r="B6" s="73" t="s">
        <v>320</v>
      </c>
      <c r="C6" s="21" t="s">
        <v>323</v>
      </c>
      <c r="D6" s="29" t="s">
        <v>324</v>
      </c>
      <c r="E6" s="75" t="s">
        <v>325</v>
      </c>
      <c r="F6" s="5"/>
      <c r="G6" s="39"/>
      <c r="H6" s="39"/>
    </row>
    <row r="7" customFormat="false" ht="31.5" hidden="false" customHeight="true" outlineLevel="0" collapsed="false">
      <c r="A7" s="16" t="n">
        <v>3</v>
      </c>
      <c r="B7" s="73" t="s">
        <v>320</v>
      </c>
      <c r="C7" s="20" t="s">
        <v>326</v>
      </c>
      <c r="D7" s="29" t="s">
        <v>327</v>
      </c>
      <c r="E7" s="75" t="s">
        <v>328</v>
      </c>
      <c r="F7" s="5"/>
      <c r="G7" s="39"/>
      <c r="H7" s="39"/>
    </row>
    <row r="8" customFormat="false" ht="31.5" hidden="false" customHeight="true" outlineLevel="0" collapsed="false">
      <c r="A8" s="16" t="n">
        <v>4</v>
      </c>
      <c r="B8" s="73" t="s">
        <v>320</v>
      </c>
      <c r="C8" s="20" t="s">
        <v>329</v>
      </c>
      <c r="D8" s="29" t="s">
        <v>330</v>
      </c>
      <c r="E8" s="74" t="s">
        <v>331</v>
      </c>
      <c r="F8" s="5"/>
      <c r="G8" s="39"/>
      <c r="H8" s="39"/>
    </row>
    <row r="9" customFormat="false" ht="31.5" hidden="false" customHeight="true" outlineLevel="0" collapsed="false">
      <c r="A9" s="16" t="n">
        <v>5</v>
      </c>
      <c r="B9" s="73" t="s">
        <v>320</v>
      </c>
      <c r="C9" s="20" t="s">
        <v>332</v>
      </c>
      <c r="D9" s="29" t="s">
        <v>333</v>
      </c>
      <c r="E9" s="74" t="s">
        <v>331</v>
      </c>
      <c r="F9" s="5"/>
      <c r="G9" s="39"/>
      <c r="H9" s="39"/>
    </row>
    <row r="10" customFormat="false" ht="31.5" hidden="false" customHeight="true" outlineLevel="0" collapsed="false">
      <c r="A10" s="16" t="n">
        <v>6</v>
      </c>
      <c r="B10" s="17" t="s">
        <v>334</v>
      </c>
      <c r="C10" s="21" t="s">
        <v>335</v>
      </c>
      <c r="D10" s="29" t="s">
        <v>336</v>
      </c>
      <c r="E10" s="74" t="s">
        <v>75</v>
      </c>
      <c r="F10" s="5"/>
      <c r="G10" s="39"/>
      <c r="H10" s="39"/>
    </row>
    <row r="11" customFormat="false" ht="31.5" hidden="false" customHeight="true" outlineLevel="0" collapsed="false">
      <c r="A11" s="16" t="n">
        <v>7</v>
      </c>
      <c r="B11" s="17" t="s">
        <v>334</v>
      </c>
      <c r="C11" s="21" t="s">
        <v>337</v>
      </c>
      <c r="D11" s="29" t="s">
        <v>338</v>
      </c>
      <c r="E11" s="74" t="s">
        <v>331</v>
      </c>
      <c r="F11" s="5"/>
      <c r="G11" s="39"/>
      <c r="H11" s="39"/>
    </row>
    <row r="12" customFormat="false" ht="31.5" hidden="false" customHeight="true" outlineLevel="0" collapsed="false">
      <c r="A12" s="16" t="n">
        <v>8</v>
      </c>
      <c r="B12" s="17" t="s">
        <v>334</v>
      </c>
      <c r="C12" s="21" t="s">
        <v>339</v>
      </c>
      <c r="D12" s="29" t="s">
        <v>340</v>
      </c>
      <c r="E12" s="74" t="s">
        <v>331</v>
      </c>
      <c r="F12" s="5"/>
      <c r="G12" s="39"/>
      <c r="H12" s="39"/>
    </row>
    <row r="13" customFormat="false" ht="31.5" hidden="false" customHeight="true" outlineLevel="0" collapsed="false">
      <c r="A13" s="16" t="n">
        <v>9</v>
      </c>
      <c r="B13" s="17" t="s">
        <v>334</v>
      </c>
      <c r="C13" s="20" t="s">
        <v>341</v>
      </c>
      <c r="D13" s="29" t="s">
        <v>342</v>
      </c>
      <c r="E13" s="74" t="s">
        <v>331</v>
      </c>
      <c r="F13" s="5"/>
      <c r="G13" s="39"/>
      <c r="H13" s="39"/>
    </row>
    <row r="14" customFormat="false" ht="31.5" hidden="false" customHeight="true" outlineLevel="0" collapsed="false">
      <c r="A14" s="16" t="n">
        <v>10</v>
      </c>
      <c r="B14" s="17" t="s">
        <v>343</v>
      </c>
      <c r="C14" s="21" t="s">
        <v>344</v>
      </c>
      <c r="D14" s="30" t="s">
        <v>345</v>
      </c>
      <c r="E14" s="74" t="s">
        <v>331</v>
      </c>
      <c r="F14" s="5"/>
      <c r="G14" s="39"/>
      <c r="H14" s="39"/>
    </row>
    <row r="15" customFormat="false" ht="31.5" hidden="false" customHeight="true" outlineLevel="0" collapsed="false">
      <c r="A15" s="16" t="n">
        <v>11</v>
      </c>
      <c r="B15" s="17" t="s">
        <v>343</v>
      </c>
      <c r="C15" s="21" t="s">
        <v>346</v>
      </c>
      <c r="D15" s="29" t="s">
        <v>347</v>
      </c>
      <c r="E15" s="74" t="s">
        <v>26</v>
      </c>
      <c r="F15" s="5"/>
      <c r="G15" s="39"/>
      <c r="H15" s="39"/>
    </row>
    <row r="16" customFormat="false" ht="31.5" hidden="false" customHeight="true" outlineLevel="0" collapsed="false">
      <c r="A16" s="16" t="n">
        <v>12</v>
      </c>
      <c r="B16" s="17" t="s">
        <v>343</v>
      </c>
      <c r="C16" s="21" t="s">
        <v>348</v>
      </c>
      <c r="D16" s="29" t="s">
        <v>349</v>
      </c>
      <c r="E16" s="74" t="s">
        <v>331</v>
      </c>
      <c r="F16" s="5"/>
      <c r="G16" s="39"/>
      <c r="H16" s="39"/>
    </row>
    <row r="17" customFormat="false" ht="31.5" hidden="false" customHeight="true" outlineLevel="0" collapsed="false">
      <c r="A17" s="16" t="n">
        <v>13</v>
      </c>
      <c r="B17" s="17" t="s">
        <v>343</v>
      </c>
      <c r="C17" s="21" t="s">
        <v>350</v>
      </c>
      <c r="D17" s="29" t="s">
        <v>351</v>
      </c>
      <c r="E17" s="74" t="s">
        <v>331</v>
      </c>
      <c r="F17" s="5"/>
      <c r="G17" s="39"/>
      <c r="H17" s="39"/>
    </row>
    <row r="18" customFormat="false" ht="31.5" hidden="false" customHeight="true" outlineLevel="0" collapsed="false">
      <c r="A18" s="16" t="n">
        <v>14</v>
      </c>
      <c r="B18" s="17" t="s">
        <v>343</v>
      </c>
      <c r="C18" s="21" t="s">
        <v>352</v>
      </c>
      <c r="D18" s="29" t="s">
        <v>353</v>
      </c>
      <c r="E18" s="74" t="s">
        <v>331</v>
      </c>
      <c r="F18" s="5"/>
      <c r="G18" s="39"/>
      <c r="H18" s="39"/>
    </row>
    <row r="19" customFormat="false" ht="31.5" hidden="false" customHeight="true" outlineLevel="0" collapsed="false">
      <c r="A19" s="16" t="n">
        <v>15</v>
      </c>
      <c r="B19" s="17" t="s">
        <v>343</v>
      </c>
      <c r="C19" s="20" t="s">
        <v>354</v>
      </c>
      <c r="D19" s="29" t="s">
        <v>355</v>
      </c>
      <c r="E19" s="74" t="s">
        <v>331</v>
      </c>
      <c r="F19" s="5"/>
      <c r="G19" s="39"/>
      <c r="H19" s="39"/>
    </row>
    <row r="20" customFormat="false" ht="31.5" hidden="false" customHeight="true" outlineLevel="0" collapsed="false">
      <c r="A20" s="16" t="n">
        <v>16</v>
      </c>
      <c r="B20" s="17" t="s">
        <v>356</v>
      </c>
      <c r="C20" s="21" t="s">
        <v>357</v>
      </c>
      <c r="D20" s="29" t="s">
        <v>358</v>
      </c>
      <c r="E20" s="74" t="s">
        <v>331</v>
      </c>
      <c r="F20" s="5"/>
      <c r="G20" s="39"/>
      <c r="H20" s="39"/>
    </row>
    <row r="21" customFormat="false" ht="31.5" hidden="false" customHeight="true" outlineLevel="0" collapsed="false">
      <c r="A21" s="16" t="n">
        <v>17</v>
      </c>
      <c r="B21" s="17" t="s">
        <v>356</v>
      </c>
      <c r="C21" s="21" t="s">
        <v>359</v>
      </c>
      <c r="D21" s="29" t="s">
        <v>360</v>
      </c>
      <c r="E21" s="74" t="s">
        <v>331</v>
      </c>
      <c r="F21" s="5"/>
      <c r="G21" s="39"/>
      <c r="H21" s="39"/>
    </row>
    <row r="22" customFormat="false" ht="31.5" hidden="false" customHeight="true" outlineLevel="0" collapsed="false">
      <c r="A22" s="16" t="n">
        <v>18</v>
      </c>
      <c r="B22" s="17" t="s">
        <v>356</v>
      </c>
      <c r="C22" s="21" t="s">
        <v>361</v>
      </c>
      <c r="D22" s="29" t="s">
        <v>362</v>
      </c>
      <c r="E22" s="74" t="s">
        <v>331</v>
      </c>
      <c r="F22" s="5"/>
      <c r="G22" s="39"/>
      <c r="H22" s="39"/>
    </row>
    <row r="23" customFormat="false" ht="31.5" hidden="false" customHeight="true" outlineLevel="0" collapsed="false">
      <c r="A23" s="16" t="n">
        <v>19</v>
      </c>
      <c r="B23" s="17" t="s">
        <v>356</v>
      </c>
      <c r="C23" s="21" t="s">
        <v>363</v>
      </c>
      <c r="D23" s="30" t="s">
        <v>364</v>
      </c>
      <c r="E23" s="74" t="s">
        <v>331</v>
      </c>
      <c r="F23" s="5"/>
      <c r="G23" s="39"/>
      <c r="H23" s="39"/>
    </row>
    <row r="24" customFormat="false" ht="31.5" hidden="false" customHeight="true" outlineLevel="0" collapsed="false">
      <c r="A24" s="16" t="n">
        <v>20</v>
      </c>
      <c r="B24" s="17" t="s">
        <v>356</v>
      </c>
      <c r="C24" s="21" t="s">
        <v>365</v>
      </c>
      <c r="D24" s="30" t="s">
        <v>366</v>
      </c>
      <c r="E24" s="74" t="s">
        <v>331</v>
      </c>
      <c r="F24" s="5"/>
      <c r="G24" s="39"/>
      <c r="H24" s="39"/>
    </row>
    <row r="25" customFormat="false" ht="31.5" hidden="false" customHeight="true" outlineLevel="0" collapsed="false">
      <c r="A25" s="16" t="n">
        <v>21</v>
      </c>
      <c r="B25" s="17" t="s">
        <v>356</v>
      </c>
      <c r="C25" s="21" t="s">
        <v>367</v>
      </c>
      <c r="D25" s="29" t="s">
        <v>368</v>
      </c>
      <c r="E25" s="74" t="s">
        <v>331</v>
      </c>
      <c r="F25" s="5"/>
      <c r="G25" s="39"/>
      <c r="H25" s="39"/>
    </row>
    <row r="26" customFormat="false" ht="31.5" hidden="false" customHeight="true" outlineLevel="0" collapsed="false">
      <c r="A26" s="16" t="n">
        <v>22</v>
      </c>
      <c r="B26" s="17" t="s">
        <v>356</v>
      </c>
      <c r="C26" s="20" t="s">
        <v>369</v>
      </c>
      <c r="D26" s="30" t="s">
        <v>370</v>
      </c>
      <c r="E26" s="74" t="s">
        <v>331</v>
      </c>
      <c r="F26" s="5"/>
      <c r="G26" s="39"/>
      <c r="H26" s="39"/>
    </row>
    <row r="27" customFormat="false" ht="31.5" hidden="false" customHeight="true" outlineLevel="0" collapsed="false">
      <c r="A27" s="16" t="n">
        <v>23</v>
      </c>
      <c r="B27" s="17" t="s">
        <v>371</v>
      </c>
      <c r="C27" s="21" t="s">
        <v>372</v>
      </c>
      <c r="D27" s="29" t="s">
        <v>373</v>
      </c>
      <c r="E27" s="74" t="s">
        <v>331</v>
      </c>
      <c r="F27" s="5"/>
      <c r="G27" s="39"/>
      <c r="H27" s="39"/>
    </row>
    <row r="28" customFormat="false" ht="31.5" hidden="false" customHeight="true" outlineLevel="0" collapsed="false">
      <c r="A28" s="16" t="n">
        <v>24</v>
      </c>
      <c r="B28" s="17" t="s">
        <v>371</v>
      </c>
      <c r="C28" s="21" t="s">
        <v>374</v>
      </c>
      <c r="D28" s="29" t="s">
        <v>375</v>
      </c>
      <c r="E28" s="74" t="s">
        <v>331</v>
      </c>
      <c r="F28" s="5"/>
      <c r="G28" s="39"/>
      <c r="H28" s="39"/>
    </row>
    <row r="29" customFormat="false" ht="31.5" hidden="false" customHeight="true" outlineLevel="0" collapsed="false">
      <c r="A29" s="16" t="n">
        <v>25</v>
      </c>
      <c r="B29" s="17" t="s">
        <v>371</v>
      </c>
      <c r="C29" s="21" t="s">
        <v>376</v>
      </c>
      <c r="D29" s="29" t="s">
        <v>377</v>
      </c>
      <c r="E29" s="74" t="s">
        <v>331</v>
      </c>
      <c r="F29" s="5"/>
      <c r="G29" s="39"/>
      <c r="H29" s="39"/>
    </row>
    <row r="30" customFormat="false" ht="31.5" hidden="false" customHeight="true" outlineLevel="0" collapsed="false">
      <c r="A30" s="16" t="n">
        <v>26</v>
      </c>
      <c r="B30" s="17" t="s">
        <v>371</v>
      </c>
      <c r="C30" s="21" t="s">
        <v>378</v>
      </c>
      <c r="D30" s="29" t="s">
        <v>379</v>
      </c>
      <c r="E30" s="74" t="s">
        <v>331</v>
      </c>
      <c r="F30" s="5"/>
      <c r="G30" s="39"/>
      <c r="H30" s="39"/>
    </row>
    <row r="31" customFormat="false" ht="31.5" hidden="false" customHeight="true" outlineLevel="0" collapsed="false">
      <c r="A31" s="16" t="n">
        <v>27</v>
      </c>
      <c r="B31" s="17" t="s">
        <v>380</v>
      </c>
      <c r="C31" s="21" t="s">
        <v>381</v>
      </c>
      <c r="D31" s="29" t="s">
        <v>382</v>
      </c>
      <c r="E31" s="74" t="s">
        <v>331</v>
      </c>
      <c r="F31" s="5"/>
      <c r="G31" s="39"/>
      <c r="H31" s="39"/>
    </row>
    <row r="32" customFormat="false" ht="31.5" hidden="false" customHeight="true" outlineLevel="0" collapsed="false">
      <c r="A32" s="16" t="n">
        <v>28</v>
      </c>
      <c r="B32" s="17" t="s">
        <v>380</v>
      </c>
      <c r="C32" s="21" t="s">
        <v>383</v>
      </c>
      <c r="D32" s="29" t="s">
        <v>384</v>
      </c>
      <c r="E32" s="74" t="s">
        <v>331</v>
      </c>
      <c r="F32" s="5"/>
      <c r="G32" s="39"/>
      <c r="H32" s="39"/>
    </row>
    <row r="33" customFormat="false" ht="31.5" hidden="false" customHeight="true" outlineLevel="0" collapsed="false">
      <c r="A33" s="16" t="n">
        <v>29</v>
      </c>
      <c r="B33" s="17" t="s">
        <v>380</v>
      </c>
      <c r="C33" s="21" t="s">
        <v>385</v>
      </c>
      <c r="D33" s="29" t="s">
        <v>386</v>
      </c>
      <c r="E33" s="74" t="s">
        <v>331</v>
      </c>
      <c r="F33" s="5"/>
      <c r="G33" s="39"/>
      <c r="H33" s="39"/>
    </row>
    <row r="34" customFormat="false" ht="31.5" hidden="false" customHeight="true" outlineLevel="0" collapsed="false">
      <c r="A34" s="16" t="n">
        <v>30</v>
      </c>
      <c r="B34" s="17" t="s">
        <v>387</v>
      </c>
      <c r="C34" s="21" t="s">
        <v>388</v>
      </c>
      <c r="D34" s="30" t="s">
        <v>389</v>
      </c>
      <c r="E34" s="74" t="s">
        <v>331</v>
      </c>
      <c r="F34" s="5"/>
      <c r="G34" s="39"/>
      <c r="H34" s="39"/>
    </row>
    <row r="35" customFormat="false" ht="31.5" hidden="false" customHeight="true" outlineLevel="0" collapsed="false">
      <c r="A35" s="16" t="n">
        <v>31</v>
      </c>
      <c r="B35" s="17" t="s">
        <v>387</v>
      </c>
      <c r="C35" s="20" t="s">
        <v>390</v>
      </c>
      <c r="D35" s="29" t="s">
        <v>391</v>
      </c>
      <c r="E35" s="74" t="s">
        <v>331</v>
      </c>
      <c r="F35" s="5"/>
      <c r="G35" s="39"/>
      <c r="H35" s="39"/>
    </row>
    <row r="36" customFormat="false" ht="31.5" hidden="false" customHeight="true" outlineLevel="0" collapsed="false">
      <c r="A36" s="16" t="n">
        <v>32</v>
      </c>
      <c r="B36" s="17" t="s">
        <v>387</v>
      </c>
      <c r="C36" s="20" t="s">
        <v>392</v>
      </c>
      <c r="D36" s="29" t="s">
        <v>393</v>
      </c>
      <c r="E36" s="74" t="s">
        <v>331</v>
      </c>
      <c r="F36" s="5"/>
      <c r="G36" s="39"/>
      <c r="H36" s="39"/>
    </row>
    <row r="37" customFormat="false" ht="31.5" hidden="false" customHeight="true" outlineLevel="0" collapsed="false">
      <c r="A37" s="16" t="n">
        <v>33</v>
      </c>
      <c r="B37" s="17" t="s">
        <v>387</v>
      </c>
      <c r="C37" s="21" t="s">
        <v>394</v>
      </c>
      <c r="D37" s="30" t="s">
        <v>395</v>
      </c>
      <c r="E37" s="74" t="s">
        <v>331</v>
      </c>
      <c r="F37" s="5"/>
      <c r="G37" s="39"/>
      <c r="H37" s="39"/>
    </row>
    <row r="38" customFormat="false" ht="31.5" hidden="false" customHeight="true" outlineLevel="0" collapsed="false">
      <c r="A38" s="16" t="n">
        <v>34</v>
      </c>
      <c r="B38" s="17" t="s">
        <v>396</v>
      </c>
      <c r="C38" s="21" t="s">
        <v>397</v>
      </c>
      <c r="D38" s="29" t="s">
        <v>398</v>
      </c>
      <c r="E38" s="74" t="s">
        <v>331</v>
      </c>
      <c r="F38" s="5"/>
      <c r="G38" s="39"/>
      <c r="H38" s="39"/>
    </row>
    <row r="40" customFormat="false" ht="15" hidden="false" customHeight="false" outlineLevel="0" collapsed="false">
      <c r="B40" s="4" t="s">
        <v>399</v>
      </c>
      <c r="C40" s="76" t="str">
        <f aca="false">"OK "&amp;COUNTIF(F5:F38,"OK")&amp;"  /  NG "&amp;COUNTIF(F5:F38,"NG")&amp;"  /  보류 "&amp;COUNTIF(F5:F38,"보류")&amp;"  /  미기록 "&amp;COUNTBLANK(F5:F38)</f>
        <v>OK 0  /  NG 0  /  보류 0  /  미기록 34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5:F38" type="list">
      <formula1>"OK,NG,N/A,보류"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23" t="s">
        <v>400</v>
      </c>
      <c r="B1" s="23"/>
      <c r="C1" s="23"/>
      <c r="D1" s="23"/>
      <c r="E1" s="23"/>
      <c r="F1" s="23"/>
      <c r="G1" s="23"/>
      <c r="H1" s="23"/>
      <c r="I1" s="23"/>
    </row>
    <row r="2" customFormat="false" ht="30" hidden="false" customHeight="true" outlineLevel="0" collapsed="false">
      <c r="A2" s="2" t="s">
        <v>401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14" t="s">
        <v>64</v>
      </c>
      <c r="B4" s="15" t="s">
        <v>65</v>
      </c>
      <c r="C4" s="15" t="s">
        <v>402</v>
      </c>
      <c r="D4" s="15" t="s">
        <v>403</v>
      </c>
      <c r="E4" s="15" t="s">
        <v>66</v>
      </c>
      <c r="F4" s="15" t="s">
        <v>404</v>
      </c>
      <c r="G4" s="15" t="s">
        <v>405</v>
      </c>
      <c r="H4" s="15" t="s">
        <v>406</v>
      </c>
      <c r="I4" s="15" t="s">
        <v>407</v>
      </c>
    </row>
    <row r="5" customFormat="false" ht="31.5" hidden="false" customHeight="true" outlineLevel="0" collapsed="false">
      <c r="A5" s="16" t="s">
        <v>408</v>
      </c>
      <c r="B5" s="33" t="s">
        <v>409</v>
      </c>
      <c r="C5" s="29" t="s">
        <v>410</v>
      </c>
      <c r="D5" s="16" t="s">
        <v>411</v>
      </c>
      <c r="E5" s="16" t="s">
        <v>77</v>
      </c>
      <c r="F5" s="16" t="s">
        <v>89</v>
      </c>
      <c r="G5" s="5"/>
      <c r="H5" s="75" t="s">
        <v>412</v>
      </c>
      <c r="I5" s="5"/>
    </row>
    <row r="6" customFormat="false" ht="31.5" hidden="false" customHeight="true" outlineLevel="0" collapsed="false">
      <c r="A6" s="16" t="s">
        <v>117</v>
      </c>
      <c r="B6" s="33" t="s">
        <v>413</v>
      </c>
      <c r="C6" s="29" t="s">
        <v>414</v>
      </c>
      <c r="D6" s="16" t="s">
        <v>415</v>
      </c>
      <c r="E6" s="16" t="s">
        <v>77</v>
      </c>
      <c r="F6" s="16" t="s">
        <v>416</v>
      </c>
      <c r="G6" s="5"/>
      <c r="H6" s="75" t="s">
        <v>417</v>
      </c>
      <c r="I6" s="5"/>
    </row>
    <row r="7" customFormat="false" ht="31.5" hidden="false" customHeight="true" outlineLevel="0" collapsed="false">
      <c r="A7" s="16" t="s">
        <v>120</v>
      </c>
      <c r="B7" s="33" t="s">
        <v>418</v>
      </c>
      <c r="C7" s="30" t="s">
        <v>419</v>
      </c>
      <c r="D7" s="16" t="s">
        <v>420</v>
      </c>
      <c r="E7" s="17" t="s">
        <v>119</v>
      </c>
      <c r="F7" s="16" t="s">
        <v>421</v>
      </c>
      <c r="G7" s="5"/>
      <c r="H7" s="75" t="s">
        <v>417</v>
      </c>
      <c r="I7" s="5"/>
    </row>
    <row r="8" customFormat="false" ht="31.5" hidden="false" customHeight="true" outlineLevel="0" collapsed="false">
      <c r="A8" s="16" t="s">
        <v>422</v>
      </c>
      <c r="B8" s="34" t="s">
        <v>423</v>
      </c>
      <c r="C8" s="29" t="s">
        <v>424</v>
      </c>
      <c r="D8" s="16" t="s">
        <v>425</v>
      </c>
      <c r="E8" s="16" t="s">
        <v>113</v>
      </c>
      <c r="F8" s="16" t="s">
        <v>426</v>
      </c>
      <c r="G8" s="5"/>
      <c r="H8" s="75" t="s">
        <v>427</v>
      </c>
      <c r="I8" s="5"/>
    </row>
    <row r="9" customFormat="false" ht="31.5" hidden="false" customHeight="true" outlineLevel="0" collapsed="false">
      <c r="A9" s="16" t="s">
        <v>125</v>
      </c>
      <c r="B9" s="34" t="s">
        <v>428</v>
      </c>
      <c r="C9" s="29" t="s">
        <v>429</v>
      </c>
      <c r="D9" s="16" t="s">
        <v>430</v>
      </c>
      <c r="E9" s="16" t="s">
        <v>124</v>
      </c>
      <c r="F9" s="16" t="s">
        <v>431</v>
      </c>
      <c r="G9" s="5"/>
      <c r="H9" s="75" t="s">
        <v>432</v>
      </c>
      <c r="I9" s="5"/>
    </row>
    <row r="10" customFormat="false" ht="31.5" hidden="false" customHeight="true" outlineLevel="0" collapsed="false">
      <c r="A10" s="16" t="s">
        <v>127</v>
      </c>
      <c r="B10" s="33" t="s">
        <v>126</v>
      </c>
      <c r="C10" s="29" t="s">
        <v>433</v>
      </c>
      <c r="D10" s="16" t="s">
        <v>434</v>
      </c>
      <c r="E10" s="16" t="s">
        <v>113</v>
      </c>
      <c r="F10" s="16" t="s">
        <v>435</v>
      </c>
      <c r="G10" s="5"/>
      <c r="H10" s="75" t="s">
        <v>432</v>
      </c>
      <c r="I10" s="5"/>
    </row>
    <row r="11" customFormat="false" ht="31.5" hidden="false" customHeight="true" outlineLevel="0" collapsed="false">
      <c r="A11" s="16" t="s">
        <v>436</v>
      </c>
      <c r="B11" s="34" t="s">
        <v>437</v>
      </c>
      <c r="C11" s="29" t="s">
        <v>438</v>
      </c>
      <c r="D11" s="16" t="s">
        <v>439</v>
      </c>
      <c r="E11" s="16" t="s">
        <v>86</v>
      </c>
      <c r="F11" s="16" t="s">
        <v>89</v>
      </c>
      <c r="G11" s="5"/>
      <c r="H11" s="75" t="s">
        <v>432</v>
      </c>
      <c r="I11" s="5"/>
    </row>
    <row r="12" customFormat="false" ht="31.5" hidden="false" customHeight="true" outlineLevel="0" collapsed="false">
      <c r="A12" s="16" t="s">
        <v>130</v>
      </c>
      <c r="B12" s="33" t="s">
        <v>128</v>
      </c>
      <c r="C12" s="29" t="s">
        <v>440</v>
      </c>
      <c r="D12" s="16" t="s">
        <v>441</v>
      </c>
      <c r="E12" s="17" t="s">
        <v>129</v>
      </c>
      <c r="F12" s="16" t="s">
        <v>442</v>
      </c>
      <c r="G12" s="5"/>
      <c r="H12" s="75" t="s">
        <v>443</v>
      </c>
      <c r="I12" s="5"/>
    </row>
    <row r="13" customFormat="false" ht="31.5" hidden="false" customHeight="true" outlineLevel="0" collapsed="false">
      <c r="A13" s="16" t="s">
        <v>444</v>
      </c>
      <c r="B13" s="34" t="s">
        <v>445</v>
      </c>
      <c r="C13" s="29" t="s">
        <v>446</v>
      </c>
      <c r="D13" s="17" t="s">
        <v>447</v>
      </c>
      <c r="E13" s="17" t="s">
        <v>119</v>
      </c>
      <c r="F13" s="16" t="s">
        <v>89</v>
      </c>
      <c r="G13" s="5"/>
      <c r="H13" s="75" t="s">
        <v>448</v>
      </c>
      <c r="I13" s="5"/>
    </row>
    <row r="14" customFormat="false" ht="31.5" hidden="false" customHeight="true" outlineLevel="0" collapsed="false">
      <c r="A14" s="16" t="s">
        <v>133</v>
      </c>
      <c r="B14" s="33" t="s">
        <v>131</v>
      </c>
      <c r="C14" s="29" t="s">
        <v>449</v>
      </c>
      <c r="D14" s="16" t="s">
        <v>425</v>
      </c>
      <c r="E14" s="17" t="s">
        <v>132</v>
      </c>
      <c r="F14" s="16" t="s">
        <v>450</v>
      </c>
      <c r="G14" s="5"/>
      <c r="H14" s="75" t="s">
        <v>451</v>
      </c>
      <c r="I14" s="5"/>
    </row>
    <row r="15" customFormat="false" ht="31.5" hidden="false" customHeight="true" outlineLevel="0" collapsed="false">
      <c r="A15" s="16" t="s">
        <v>135</v>
      </c>
      <c r="B15" s="34" t="s">
        <v>134</v>
      </c>
      <c r="C15" s="29" t="s">
        <v>452</v>
      </c>
      <c r="D15" s="16" t="s">
        <v>453</v>
      </c>
      <c r="E15" s="17" t="s">
        <v>119</v>
      </c>
      <c r="F15" s="16" t="s">
        <v>454</v>
      </c>
      <c r="G15" s="5"/>
      <c r="H15" s="75" t="s">
        <v>455</v>
      </c>
      <c r="I15" s="5"/>
    </row>
    <row r="16" customFormat="false" ht="31.5" hidden="false" customHeight="true" outlineLevel="0" collapsed="false">
      <c r="A16" s="16" t="s">
        <v>137</v>
      </c>
      <c r="B16" s="33" t="s">
        <v>456</v>
      </c>
      <c r="C16" s="30" t="s">
        <v>457</v>
      </c>
      <c r="D16" s="16" t="s">
        <v>458</v>
      </c>
      <c r="E16" s="16" t="s">
        <v>89</v>
      </c>
      <c r="F16" s="16" t="s">
        <v>89</v>
      </c>
      <c r="G16" s="5"/>
      <c r="H16" s="75" t="s">
        <v>459</v>
      </c>
      <c r="I16" s="5"/>
    </row>
    <row r="17" customFormat="false" ht="31.5" hidden="false" customHeight="true" outlineLevel="0" collapsed="false">
      <c r="A17" s="16" t="s">
        <v>460</v>
      </c>
      <c r="B17" s="33" t="s">
        <v>461</v>
      </c>
      <c r="C17" s="29" t="s">
        <v>462</v>
      </c>
      <c r="D17" s="16" t="s">
        <v>463</v>
      </c>
      <c r="E17" s="16" t="s">
        <v>86</v>
      </c>
      <c r="F17" s="16" t="s">
        <v>464</v>
      </c>
      <c r="G17" s="5"/>
      <c r="H17" s="75" t="s">
        <v>432</v>
      </c>
      <c r="I17" s="5"/>
    </row>
    <row r="18" customFormat="false" ht="31.5" hidden="false" customHeight="true" outlineLevel="0" collapsed="false">
      <c r="A18" s="16" t="s">
        <v>140</v>
      </c>
      <c r="B18" s="33" t="s">
        <v>138</v>
      </c>
      <c r="C18" s="29" t="s">
        <v>465</v>
      </c>
      <c r="D18" s="16" t="s">
        <v>415</v>
      </c>
      <c r="E18" s="16" t="s">
        <v>139</v>
      </c>
      <c r="F18" s="16" t="s">
        <v>466</v>
      </c>
      <c r="G18" s="5"/>
      <c r="H18" s="75" t="s">
        <v>467</v>
      </c>
      <c r="I18" s="5"/>
    </row>
    <row r="19" customFormat="false" ht="31.5" hidden="false" customHeight="true" outlineLevel="0" collapsed="false">
      <c r="A19" s="16" t="s">
        <v>468</v>
      </c>
      <c r="B19" s="33" t="s">
        <v>469</v>
      </c>
      <c r="C19" s="29" t="s">
        <v>470</v>
      </c>
      <c r="D19" s="16" t="s">
        <v>441</v>
      </c>
      <c r="E19" s="17" t="s">
        <v>119</v>
      </c>
      <c r="F19" s="16" t="s">
        <v>471</v>
      </c>
      <c r="G19" s="5"/>
      <c r="H19" s="75" t="s">
        <v>472</v>
      </c>
      <c r="I19" s="5"/>
    </row>
    <row r="20" customFormat="false" ht="31.5" hidden="false" customHeight="true" outlineLevel="0" collapsed="false">
      <c r="A20" s="16" t="s">
        <v>473</v>
      </c>
      <c r="B20" s="34" t="s">
        <v>474</v>
      </c>
      <c r="C20" s="29" t="s">
        <v>475</v>
      </c>
      <c r="D20" s="16" t="s">
        <v>425</v>
      </c>
      <c r="E20" s="16" t="s">
        <v>124</v>
      </c>
      <c r="F20" s="16" t="s">
        <v>476</v>
      </c>
      <c r="G20" s="5"/>
      <c r="H20" s="75" t="s">
        <v>472</v>
      </c>
      <c r="I20" s="5"/>
    </row>
    <row r="21" customFormat="false" ht="31.5" hidden="false" customHeight="true" outlineLevel="0" collapsed="false">
      <c r="A21" s="16" t="s">
        <v>477</v>
      </c>
      <c r="B21" s="33" t="s">
        <v>478</v>
      </c>
      <c r="C21" s="29" t="s">
        <v>479</v>
      </c>
      <c r="D21" s="17" t="s">
        <v>480</v>
      </c>
      <c r="E21" s="16" t="s">
        <v>86</v>
      </c>
      <c r="F21" s="16" t="s">
        <v>89</v>
      </c>
      <c r="G21" s="5"/>
      <c r="H21" s="75" t="s">
        <v>481</v>
      </c>
      <c r="I21" s="5"/>
    </row>
    <row r="23" customFormat="false" ht="15" hidden="false" customHeight="false" outlineLevel="0" collapsed="false">
      <c r="A23" s="77" t="s">
        <v>482</v>
      </c>
    </row>
    <row r="24" customFormat="false" ht="30" hidden="false" customHeight="true" outlineLevel="0" collapsed="false">
      <c r="A24" s="78" t="s">
        <v>483</v>
      </c>
      <c r="B24" s="78"/>
      <c r="C24" s="78"/>
      <c r="D24" s="78"/>
      <c r="E24" s="78"/>
      <c r="F24" s="78"/>
      <c r="G24" s="78"/>
      <c r="H24" s="78"/>
      <c r="I24" s="78"/>
    </row>
    <row r="25" customFormat="false" ht="30" hidden="false" customHeight="true" outlineLevel="0" collapsed="false">
      <c r="A25" s="78" t="s">
        <v>484</v>
      </c>
      <c r="B25" s="78"/>
      <c r="C25" s="78"/>
      <c r="D25" s="78"/>
      <c r="E25" s="78"/>
      <c r="F25" s="78"/>
      <c r="G25" s="78"/>
      <c r="H25" s="78"/>
      <c r="I25" s="78"/>
    </row>
    <row r="26" customFormat="false" ht="30" hidden="false" customHeight="true" outlineLevel="0" collapsed="false">
      <c r="A26" s="78" t="s">
        <v>485</v>
      </c>
      <c r="B26" s="78"/>
      <c r="C26" s="78"/>
      <c r="D26" s="78"/>
      <c r="E26" s="78"/>
      <c r="F26" s="78"/>
      <c r="G26" s="78"/>
      <c r="H26" s="78"/>
      <c r="I26" s="78"/>
    </row>
  </sheetData>
  <mergeCells count="5">
    <mergeCell ref="A1:I1"/>
    <mergeCell ref="A2:I2"/>
    <mergeCell ref="A24:I24"/>
    <mergeCell ref="A25:I25"/>
    <mergeCell ref="A26:I26"/>
  </mergeCells>
  <dataValidations count="1">
    <dataValidation allowBlank="true" errorStyle="stop" operator="between" showDropDown="false" showErrorMessage="false" showInputMessage="false" sqref="I5:I21" type="list">
      <formula1>"반영,미반영,검토중"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5" min="15" style="0" width="22"/>
  </cols>
  <sheetData>
    <row r="1" customFormat="false" ht="25.5" hidden="false" customHeight="true" outlineLevel="0" collapsed="false">
      <c r="A1" s="23" t="s">
        <v>486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customFormat="false" ht="30" hidden="false" customHeight="true" outlineLevel="0" collapsed="false">
      <c r="A2" s="2" t="s">
        <v>487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48" hidden="false" customHeight="true" outlineLevel="0" collapsed="false">
      <c r="A4" s="14" t="s">
        <v>17</v>
      </c>
      <c r="B4" s="15" t="s">
        <v>18</v>
      </c>
      <c r="C4" s="14" t="s">
        <v>488</v>
      </c>
      <c r="D4" s="15" t="s">
        <v>489</v>
      </c>
      <c r="E4" s="15" t="s">
        <v>490</v>
      </c>
      <c r="F4" s="15" t="s">
        <v>491</v>
      </c>
      <c r="G4" s="15" t="s">
        <v>492</v>
      </c>
      <c r="H4" s="14" t="s">
        <v>493</v>
      </c>
      <c r="I4" s="15" t="s">
        <v>494</v>
      </c>
      <c r="J4" s="15" t="s">
        <v>495</v>
      </c>
      <c r="K4" s="14" t="s">
        <v>496</v>
      </c>
      <c r="L4" s="15" t="s">
        <v>497</v>
      </c>
      <c r="M4" s="15" t="s">
        <v>498</v>
      </c>
      <c r="N4" s="15" t="s">
        <v>499</v>
      </c>
      <c r="O4" s="15" t="s">
        <v>24</v>
      </c>
    </row>
    <row r="5" customFormat="false" ht="15" hidden="false" customHeight="false" outlineLevel="0" collapsed="false">
      <c r="A5" s="79" t="s">
        <v>25</v>
      </c>
      <c r="B5" s="17" t="s">
        <v>26</v>
      </c>
      <c r="C5" s="9" t="n">
        <f aca="false">COUNTIFS(3_전환시간실측!$A$7:$A$21,A5,3_전환시간실측!$O$7:$O$21,"&gt;-99999")</f>
        <v>0</v>
      </c>
      <c r="D5" s="9" t="str">
        <f aca="false">IFERROR(ROUND(AVERAGEIFS(3_전환시간실측!$O$7:$O$21,3_전환시간실측!$A$7:$A$21,A5),0),"")</f>
        <v/>
      </c>
      <c r="E5" s="9" t="str">
        <f aca="false">IF(C5=0,"",_xlfn.MAXIFS(3_전환시간실측!$O$7:$O$21,3_전환시간실측!$A$7:$A$21,A5))</f>
        <v/>
      </c>
      <c r="F5" s="69" t="str">
        <f aca="false">IF(E5="","",E5+3_전환시간실측!$C$3)</f>
        <v/>
      </c>
      <c r="G5" s="9" t="str">
        <f aca="false">IF(C5=0,"",_xlfn.MAXIFS(3_전환시간실측!$Q$7:$Q$21,3_전환시간실측!$A$7:$A$21,A5))</f>
        <v/>
      </c>
      <c r="H5" s="9" t="n">
        <f aca="false">COUNTIFS(3_전환시간실측!$A$26:$A$40,A5,3_전환시간실측!$O$26:$O$40,"&gt;-99999")</f>
        <v>0</v>
      </c>
      <c r="I5" s="9" t="str">
        <f aca="false">IFERROR(ROUND(AVERAGEIFS(3_전환시간실측!$O$26:$O$40,3_전환시간실측!$A$26:$A$40,A5),0),"")</f>
        <v/>
      </c>
      <c r="J5" s="40" t="str">
        <f aca="false">IF(H5=0,"",_xlfn.MAXIFS(3_전환시간실측!$S$26:$S$40,3_전환시간실측!$A$26:$A$40,A5))</f>
        <v/>
      </c>
      <c r="K5" s="9" t="str">
        <f aca="false">IF(1_파라메터기록!F13="","",1_파라메터기록!F13)</f>
        <v/>
      </c>
      <c r="L5" s="5"/>
      <c r="M5" s="5"/>
      <c r="N5" s="5"/>
      <c r="O5" s="39"/>
    </row>
    <row r="6" customFormat="false" ht="15" hidden="false" customHeight="false" outlineLevel="0" collapsed="false">
      <c r="A6" s="79" t="s">
        <v>28</v>
      </c>
      <c r="B6" s="17" t="s">
        <v>26</v>
      </c>
      <c r="C6" s="9" t="n">
        <f aca="false">COUNTIFS(3_전환시간실측!$A$7:$A$21,A6,3_전환시간실측!$O$7:$O$21,"&gt;-99999")</f>
        <v>0</v>
      </c>
      <c r="D6" s="9" t="str">
        <f aca="false">IFERROR(ROUND(AVERAGEIFS(3_전환시간실측!$O$7:$O$21,3_전환시간실측!$A$7:$A$21,A6),0),"")</f>
        <v/>
      </c>
      <c r="E6" s="9" t="str">
        <f aca="false">IF(C6=0,"",_xlfn.MAXIFS(3_전환시간실측!$O$7:$O$21,3_전환시간실측!$A$7:$A$21,A6))</f>
        <v/>
      </c>
      <c r="F6" s="69" t="str">
        <f aca="false">IF(E6="","",E6+3_전환시간실측!$C$3)</f>
        <v/>
      </c>
      <c r="G6" s="9" t="str">
        <f aca="false">IF(C6=0,"",_xlfn.MAXIFS(3_전환시간실측!$Q$7:$Q$21,3_전환시간실측!$A$7:$A$21,A6))</f>
        <v/>
      </c>
      <c r="H6" s="9" t="n">
        <f aca="false">COUNTIFS(3_전환시간실측!$A$26:$A$40,A6,3_전환시간실측!$O$26:$O$40,"&gt;-99999")</f>
        <v>0</v>
      </c>
      <c r="I6" s="9" t="str">
        <f aca="false">IFERROR(ROUND(AVERAGEIFS(3_전환시간실측!$O$26:$O$40,3_전환시간실측!$A$26:$A$40,A6),0),"")</f>
        <v/>
      </c>
      <c r="J6" s="40" t="str">
        <f aca="false">IF(H6=0,"",_xlfn.MAXIFS(3_전환시간실측!$S$26:$S$40,3_전환시간실측!$A$26:$A$40,A6))</f>
        <v/>
      </c>
      <c r="K6" s="9" t="str">
        <f aca="false">IF(1_파라메터기록!H13="","",1_파라메터기록!H13)</f>
        <v/>
      </c>
      <c r="L6" s="5"/>
      <c r="M6" s="5"/>
      <c r="N6" s="5"/>
      <c r="O6" s="39"/>
    </row>
    <row r="7" customFormat="false" ht="15" hidden="false" customHeight="false" outlineLevel="0" collapsed="false">
      <c r="A7" s="79" t="s">
        <v>30</v>
      </c>
      <c r="B7" s="17" t="s">
        <v>26</v>
      </c>
      <c r="C7" s="9" t="n">
        <f aca="false">COUNTIFS(3_전환시간실측!$A$7:$A$21,A7,3_전환시간실측!$O$7:$O$21,"&gt;-99999")</f>
        <v>1</v>
      </c>
      <c r="D7" s="9" t="n">
        <f aca="false">IFERROR(ROUND(AVERAGEIFS(3_전환시간실측!$O$7:$O$21,3_전환시간실측!$A$7:$A$21,A7),0),"")</f>
        <v>95</v>
      </c>
      <c r="E7" s="9" t="n">
        <f aca="false">IF(C7=0,"",_xlfn.MAXIFS(3_전환시간실측!$O$7:$O$21,3_전환시간실측!$A$7:$A$21,A7))</f>
        <v>95</v>
      </c>
      <c r="F7" s="69" t="n">
        <f aca="false">IF(E7="","",E7+3_전환시간실측!$C$3)</f>
        <v>125</v>
      </c>
      <c r="G7" s="9" t="n">
        <f aca="false">IF(C7=0,"",_xlfn.MAXIFS(3_전환시간실측!$Q$7:$Q$21,3_전환시간실측!$A$7:$A$21,A7))</f>
        <v>89</v>
      </c>
      <c r="H7" s="9" t="n">
        <f aca="false">COUNTIFS(3_전환시간실측!$A$26:$A$40,A7,3_전환시간실측!$O$26:$O$40,"&gt;-99999")</f>
        <v>1</v>
      </c>
      <c r="I7" s="9" t="n">
        <f aca="false">IFERROR(ROUND(AVERAGEIFS(3_전환시간실측!$O$26:$O$40,3_전환시간실측!$A$26:$A$40,A7),0),"")</f>
        <v>63</v>
      </c>
      <c r="J7" s="40" t="n">
        <f aca="false">IF(H7=0,"",_xlfn.MAXIFS(3_전환시간실측!$S$26:$S$40,3_전환시간실측!$A$26:$A$40,A7))</f>
        <v>2.1</v>
      </c>
      <c r="K7" s="9" t="str">
        <f aca="false">IF(1_파라메터기록!J13="","",1_파라메터기록!J13)</f>
        <v/>
      </c>
      <c r="L7" s="5"/>
      <c r="M7" s="5"/>
      <c r="N7" s="5"/>
      <c r="O7" s="39"/>
    </row>
    <row r="8" customFormat="false" ht="15" hidden="false" customHeight="false" outlineLevel="0" collapsed="false">
      <c r="A8" s="79" t="s">
        <v>31</v>
      </c>
      <c r="B8" s="17" t="s">
        <v>26</v>
      </c>
      <c r="C8" s="9" t="n">
        <f aca="false">COUNTIFS(3_전환시간실측!$A$7:$A$21,A8,3_전환시간실측!$O$7:$O$21,"&gt;-99999")</f>
        <v>0</v>
      </c>
      <c r="D8" s="9" t="str">
        <f aca="false">IFERROR(ROUND(AVERAGEIFS(3_전환시간실측!$O$7:$O$21,3_전환시간실측!$A$7:$A$21,A8),0),"")</f>
        <v/>
      </c>
      <c r="E8" s="9" t="str">
        <f aca="false">IF(C8=0,"",_xlfn.MAXIFS(3_전환시간실측!$O$7:$O$21,3_전환시간실측!$A$7:$A$21,A8))</f>
        <v/>
      </c>
      <c r="F8" s="69" t="str">
        <f aca="false">IF(E8="","",E8+3_전환시간실측!$C$3)</f>
        <v/>
      </c>
      <c r="G8" s="9" t="str">
        <f aca="false">IF(C8=0,"",_xlfn.MAXIFS(3_전환시간실측!$Q$7:$Q$21,3_전환시간실측!$A$7:$A$21,A8))</f>
        <v/>
      </c>
      <c r="H8" s="9" t="n">
        <f aca="false">COUNTIFS(3_전환시간실측!$A$26:$A$40,A8,3_전환시간실측!$O$26:$O$40,"&gt;-99999")</f>
        <v>0</v>
      </c>
      <c r="I8" s="9" t="str">
        <f aca="false">IFERROR(ROUND(AVERAGEIFS(3_전환시간실측!$O$26:$O$40,3_전환시간실측!$A$26:$A$40,A8),0),"")</f>
        <v/>
      </c>
      <c r="J8" s="40" t="str">
        <f aca="false">IF(H8=0,"",_xlfn.MAXIFS(3_전환시간실측!$S$26:$S$40,3_전환시간실측!$A$26:$A$40,A8))</f>
        <v/>
      </c>
      <c r="K8" s="9" t="str">
        <f aca="false">IF(1_파라메터기록!L13="","",1_파라메터기록!L13)</f>
        <v/>
      </c>
      <c r="L8" s="5"/>
      <c r="M8" s="5"/>
      <c r="N8" s="5"/>
      <c r="O8" s="39"/>
    </row>
    <row r="9" customFormat="false" ht="15" hidden="false" customHeight="false" outlineLevel="0" collapsed="false">
      <c r="A9" s="79" t="s">
        <v>33</v>
      </c>
      <c r="B9" s="17" t="s">
        <v>34</v>
      </c>
      <c r="C9" s="9" t="n">
        <f aca="false">COUNTIFS(3_전환시간실측!$A$7:$A$21,A9,3_전환시간실측!$O$7:$O$21,"&gt;-99999")</f>
        <v>0</v>
      </c>
      <c r="D9" s="9" t="str">
        <f aca="false">IFERROR(ROUND(AVERAGEIFS(3_전환시간실측!$O$7:$O$21,3_전환시간실측!$A$7:$A$21,A9),0),"")</f>
        <v/>
      </c>
      <c r="E9" s="9" t="str">
        <f aca="false">IF(C9=0,"",_xlfn.MAXIFS(3_전환시간실측!$O$7:$O$21,3_전환시간실측!$A$7:$A$21,A9))</f>
        <v/>
      </c>
      <c r="F9" s="69" t="str">
        <f aca="false">IF(E9="","",E9+3_전환시간실측!$C$3)</f>
        <v/>
      </c>
      <c r="G9" s="9" t="str">
        <f aca="false">IF(C9=0,"",_xlfn.MAXIFS(3_전환시간실측!$Q$7:$Q$21,3_전환시간실측!$A$7:$A$21,A9))</f>
        <v/>
      </c>
      <c r="H9" s="9" t="n">
        <f aca="false">COUNTIFS(3_전환시간실측!$A$26:$A$40,A9,3_전환시간실측!$O$26:$O$40,"&gt;-99999")</f>
        <v>0</v>
      </c>
      <c r="I9" s="9" t="str">
        <f aca="false">IFERROR(ROUND(AVERAGEIFS(3_전환시간실측!$O$26:$O$40,3_전환시간실측!$A$26:$A$40,A9),0),"")</f>
        <v/>
      </c>
      <c r="J9" s="40" t="str">
        <f aca="false">IF(H9=0,"",_xlfn.MAXIFS(3_전환시간실측!$S$26:$S$40,3_전환시간실측!$A$26:$A$40,A9))</f>
        <v/>
      </c>
      <c r="K9" s="9" t="str">
        <f aca="false">IF(1_파라메터기록!N13="","",1_파라메터기록!N13)</f>
        <v/>
      </c>
      <c r="L9" s="5"/>
      <c r="M9" s="5"/>
      <c r="N9" s="5"/>
      <c r="O9" s="39"/>
    </row>
    <row r="11" customFormat="false" ht="15" hidden="false" customHeight="false" outlineLevel="0" collapsed="false">
      <c r="A11" s="37" t="s">
        <v>500</v>
      </c>
    </row>
    <row r="12" customFormat="false" ht="15" hidden="false" customHeight="false" outlineLevel="0" collapsed="false">
      <c r="A12" s="37" t="s">
        <v>501</v>
      </c>
    </row>
    <row r="14" customFormat="false" ht="15" hidden="false" customHeight="false" outlineLevel="0" collapsed="false">
      <c r="A14" s="80" t="s">
        <v>502</v>
      </c>
    </row>
    <row r="15" customFormat="false" ht="15" hidden="false" customHeight="true" outlineLevel="0" collapsed="false">
      <c r="A15" s="26" t="s">
        <v>18</v>
      </c>
      <c r="B15" s="26"/>
      <c r="C15" s="26" t="s">
        <v>503</v>
      </c>
      <c r="D15" s="26"/>
      <c r="E15" s="26" t="s">
        <v>504</v>
      </c>
      <c r="F15" s="26"/>
      <c r="G15" s="26" t="s">
        <v>505</v>
      </c>
      <c r="H15" s="26"/>
      <c r="I15" s="26" t="s">
        <v>506</v>
      </c>
      <c r="J15" s="26"/>
    </row>
    <row r="16" customFormat="false" ht="25.5" hidden="false" customHeight="true" outlineLevel="0" collapsed="false">
      <c r="A16" s="17" t="s">
        <v>5</v>
      </c>
      <c r="B16" s="17"/>
      <c r="C16" s="5"/>
      <c r="D16" s="5"/>
      <c r="E16" s="5"/>
      <c r="F16" s="5"/>
      <c r="G16" s="5"/>
      <c r="H16" s="5"/>
      <c r="I16" s="5"/>
      <c r="J16" s="5"/>
    </row>
    <row r="17" customFormat="false" ht="25.5" hidden="false" customHeight="true" outlineLevel="0" collapsed="false">
      <c r="A17" s="17" t="s">
        <v>507</v>
      </c>
      <c r="B17" s="17"/>
      <c r="C17" s="5"/>
      <c r="D17" s="5"/>
      <c r="E17" s="5"/>
      <c r="F17" s="5"/>
      <c r="G17" s="5"/>
      <c r="H17" s="5"/>
      <c r="I17" s="5"/>
      <c r="J17" s="5"/>
    </row>
    <row r="18" customFormat="false" ht="25.5" hidden="false" customHeight="true" outlineLevel="0" collapsed="false">
      <c r="A18" s="17" t="s">
        <v>508</v>
      </c>
      <c r="B18" s="17"/>
      <c r="C18" s="5"/>
      <c r="D18" s="5"/>
      <c r="E18" s="5"/>
      <c r="F18" s="5"/>
      <c r="G18" s="5"/>
      <c r="H18" s="5"/>
      <c r="I18" s="5"/>
      <c r="J18" s="5"/>
    </row>
    <row r="19" customFormat="false" ht="25.5" hidden="false" customHeight="true" outlineLevel="0" collapsed="false">
      <c r="A19" s="17" t="s">
        <v>509</v>
      </c>
      <c r="B19" s="17"/>
      <c r="C19" s="5"/>
      <c r="D19" s="5"/>
      <c r="E19" s="5"/>
      <c r="F19" s="5"/>
      <c r="G19" s="5"/>
      <c r="H19" s="5"/>
      <c r="I19" s="5"/>
      <c r="J19" s="5"/>
    </row>
  </sheetData>
  <mergeCells count="27">
    <mergeCell ref="A1:O1"/>
    <mergeCell ref="A2:O2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</mergeCells>
  <printOptions headings="false" gridLines="false" gridLinesSet="true" horizontalCentered="false" verticalCentered="false"/>
  <pageMargins left="0.3" right="0.3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 -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2026-10-29T06:46:56Z</dcterms:created>
  <dc:creator>openpyxl</dc:creator>
  <dc:description/>
  <dc:language>en-US</dc:language>
  <cp:lastModifiedBy/>
  <dcterms:modified xsi:type="dcterms:W3CDTF">2026-10-29T06:46:57Z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